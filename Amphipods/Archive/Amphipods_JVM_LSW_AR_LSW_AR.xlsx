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nea\Downloads\"/>
    </mc:Choice>
  </mc:AlternateContent>
  <xr:revisionPtr revIDLastSave="0" documentId="13_ncr:1_{A6790914-931B-41EA-A0EF-DECED7125469}" xr6:coauthVersionLast="47" xr6:coauthVersionMax="47" xr10:uidLastSave="{00000000-0000-0000-0000-000000000000}"/>
  <bookViews>
    <workbookView xWindow="-98" yWindow="-98" windowWidth="21795" windowHeight="13875" xr2:uid="{4C62680A-4E91-43DF-9E0C-97DB85326EBF}"/>
  </bookViews>
  <sheets>
    <sheet name="Amphipods_JV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60" i="1" l="1"/>
  <c r="T159" i="1"/>
  <c r="T150" i="1"/>
  <c r="T149" i="1"/>
  <c r="T144" i="1"/>
  <c r="T143" i="1"/>
  <c r="T138" i="1"/>
  <c r="T137" i="1"/>
  <c r="T132" i="1"/>
  <c r="T131" i="1"/>
  <c r="T126" i="1"/>
  <c r="T125" i="1"/>
  <c r="T113" i="1"/>
  <c r="T114" i="1"/>
  <c r="T119" i="1"/>
  <c r="T120" i="1"/>
  <c r="T108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8" i="1"/>
  <c r="T83" i="1"/>
  <c r="T84" i="1"/>
  <c r="T89" i="1"/>
  <c r="T90" i="1"/>
  <c r="T95" i="1"/>
  <c r="T96" i="1"/>
  <c r="T101" i="1"/>
  <c r="T102" i="1"/>
  <c r="T107" i="1"/>
  <c r="T77" i="1"/>
</calcChain>
</file>

<file path=xl/sharedStrings.xml><?xml version="1.0" encoding="utf-8"?>
<sst xmlns="http://schemas.openxmlformats.org/spreadsheetml/2006/main" count="3132" uniqueCount="337">
  <si>
    <t>Season</t>
  </si>
  <si>
    <t>Assay</t>
  </si>
  <si>
    <t>Tissue</t>
  </si>
  <si>
    <t>Tank</t>
  </si>
  <si>
    <t>Sporophyte</t>
  </si>
  <si>
    <t>Deployment</t>
  </si>
  <si>
    <t>Retrieval</t>
  </si>
  <si>
    <t>Origin</t>
  </si>
  <si>
    <t>Arena</t>
  </si>
  <si>
    <t>Food</t>
  </si>
  <si>
    <t>Initial</t>
  </si>
  <si>
    <t>Final</t>
  </si>
  <si>
    <t>Tube</t>
  </si>
  <si>
    <t>Final_tube</t>
  </si>
  <si>
    <t>Final_dry</t>
  </si>
  <si>
    <t>Grazer_initial</t>
  </si>
  <si>
    <t>Grazer_final</t>
  </si>
  <si>
    <t>Grazer_length</t>
  </si>
  <si>
    <t>Initials</t>
  </si>
  <si>
    <t>Notes</t>
  </si>
  <si>
    <t>Spring</t>
  </si>
  <si>
    <t>No-choice</t>
  </si>
  <si>
    <t>Intact</t>
  </si>
  <si>
    <t>U1</t>
  </si>
  <si>
    <t>24.05.24 10:00</t>
  </si>
  <si>
    <t>31.05.24 16:07</t>
  </si>
  <si>
    <t>Urchin</t>
  </si>
  <si>
    <t>Amphipod</t>
  </si>
  <si>
    <t>Kelp</t>
  </si>
  <si>
    <t>NA</t>
  </si>
  <si>
    <t>JVM</t>
  </si>
  <si>
    <t>C1</t>
  </si>
  <si>
    <t>Control</t>
  </si>
  <si>
    <t>U2</t>
  </si>
  <si>
    <t>24.05.24 10:05</t>
  </si>
  <si>
    <t>31.05.24 16:09</t>
  </si>
  <si>
    <t>C2</t>
  </si>
  <si>
    <t>kelp discs were clearly being grazed</t>
  </si>
  <si>
    <t>U3</t>
  </si>
  <si>
    <t>24.05.24 10:10</t>
  </si>
  <si>
    <t>31.05.24 16:10</t>
  </si>
  <si>
    <t>C3</t>
  </si>
  <si>
    <t>U4</t>
  </si>
  <si>
    <t>24.05.24 10:15</t>
  </si>
  <si>
    <t>31.05.24 16:12</t>
  </si>
  <si>
    <t>C4</t>
  </si>
  <si>
    <t>one of the kelp discs was being grazed</t>
  </si>
  <si>
    <t>U5</t>
  </si>
  <si>
    <t>24.05.24 10:18</t>
  </si>
  <si>
    <t>31.05.24 16:14</t>
  </si>
  <si>
    <t>C5</t>
  </si>
  <si>
    <t>U6</t>
  </si>
  <si>
    <t>24.05.24 10:22</t>
  </si>
  <si>
    <t>31.05.24 16:15</t>
  </si>
  <si>
    <t>C6</t>
  </si>
  <si>
    <t>kelp discs were heavily grazed</t>
  </si>
  <si>
    <t>U7</t>
  </si>
  <si>
    <t>24.05.24 10:24</t>
  </si>
  <si>
    <t>C7</t>
  </si>
  <si>
    <t>U8</t>
  </si>
  <si>
    <t>24.05.24 10:27</t>
  </si>
  <si>
    <t>31.05.24 16:16</t>
  </si>
  <si>
    <t>C8</t>
  </si>
  <si>
    <t>U9</t>
  </si>
  <si>
    <t>24.05.24 10:31</t>
  </si>
  <si>
    <t>31.05.24 16:17</t>
  </si>
  <si>
    <t>C9</t>
  </si>
  <si>
    <t>U10</t>
  </si>
  <si>
    <t>24.05.24 10:35</t>
  </si>
  <si>
    <t>31.05.24 16:18</t>
  </si>
  <si>
    <t>C10</t>
  </si>
  <si>
    <t>U11</t>
  </si>
  <si>
    <t>24.05.24 10:38</t>
  </si>
  <si>
    <t>C11</t>
  </si>
  <si>
    <t>U12</t>
  </si>
  <si>
    <t>24.05.24 10:50</t>
  </si>
  <si>
    <t>31.05.24 16:19</t>
  </si>
  <si>
    <t>C12</t>
  </si>
  <si>
    <t>U13</t>
  </si>
  <si>
    <t>24.05.24 10:57</t>
  </si>
  <si>
    <t>31.05.24 16:20</t>
  </si>
  <si>
    <t>C13</t>
  </si>
  <si>
    <t>U14</t>
  </si>
  <si>
    <t>24.05.24 11:00</t>
  </si>
  <si>
    <t>31.05.24 16:21</t>
  </si>
  <si>
    <t>C14</t>
  </si>
  <si>
    <t>U15</t>
  </si>
  <si>
    <t>24.05.24 11:03</t>
  </si>
  <si>
    <t>one of the kelp discs looked grazed</t>
  </si>
  <si>
    <t>C15</t>
  </si>
  <si>
    <t>28.05.24 12:36</t>
  </si>
  <si>
    <t>04.06.24 12:49</t>
  </si>
  <si>
    <t>28.05.24 12:38</t>
  </si>
  <si>
    <t>04.06.24 12:52</t>
  </si>
  <si>
    <t>28.05.24 12:41</t>
  </si>
  <si>
    <t>04.06.24 12:53</t>
  </si>
  <si>
    <t>28.05.24 12:44</t>
  </si>
  <si>
    <t>04.06.24 12:55</t>
  </si>
  <si>
    <t>28.05.24 12:47</t>
  </si>
  <si>
    <t>04.06.24 12:57</t>
  </si>
  <si>
    <t>28.05.24 12:49</t>
  </si>
  <si>
    <t>04.06.24 12:56</t>
  </si>
  <si>
    <t>28.05.24 12:52</t>
  </si>
  <si>
    <t>04.06.24 12:59</t>
  </si>
  <si>
    <t>28.05.24 12:55</t>
  </si>
  <si>
    <t>04.06.24 13:02</t>
  </si>
  <si>
    <t>28.05.24 12:58</t>
  </si>
  <si>
    <t>04.06.24 13:01</t>
  </si>
  <si>
    <t>28.05.24 13:01</t>
  </si>
  <si>
    <t>04.06.24 13:03</t>
  </si>
  <si>
    <t>28.05.24 13:03</t>
  </si>
  <si>
    <t>04.06.24 13:04</t>
  </si>
  <si>
    <t>one of the kelp discs was a bit grazed</t>
  </si>
  <si>
    <t>28.05.24 13:07</t>
  </si>
  <si>
    <t>28.05.24 13:10</t>
  </si>
  <si>
    <t>04.06.24 13:05</t>
  </si>
  <si>
    <t>28.05.24 13:12</t>
  </si>
  <si>
    <t>04.06.24 13:06</t>
  </si>
  <si>
    <t>28.05.24 13:15</t>
  </si>
  <si>
    <t>24.05.24 11:06</t>
  </si>
  <si>
    <t>31.05.24 12:12</t>
  </si>
  <si>
    <t>Faeces</t>
  </si>
  <si>
    <t>24.05.24 11:10</t>
  </si>
  <si>
    <t>31.05.24 12:14</t>
  </si>
  <si>
    <t>24.05.24 11:14</t>
  </si>
  <si>
    <t>31.05.24 12:15</t>
  </si>
  <si>
    <t>24.05.24 11:19</t>
  </si>
  <si>
    <t>31.05.24 12:18</t>
  </si>
  <si>
    <t>24.05.24 11:23</t>
  </si>
  <si>
    <t>31.05.24 12:23</t>
  </si>
  <si>
    <t>24.05.24 11:27</t>
  </si>
  <si>
    <t>31.05.24 12:25</t>
  </si>
  <si>
    <t>24.05.24 11:32</t>
  </si>
  <si>
    <t>31.05.24 12:27</t>
  </si>
  <si>
    <t>24.05.24 11:34</t>
  </si>
  <si>
    <t>31.05.24 12:29</t>
  </si>
  <si>
    <t>24.05.24 11:38</t>
  </si>
  <si>
    <t>31.05.24 12:32</t>
  </si>
  <si>
    <t>24.05.24 11:42</t>
  </si>
  <si>
    <t>31.05.24 12:34</t>
  </si>
  <si>
    <t>24.05.24 11:46</t>
  </si>
  <si>
    <t>31.05.24 12:36</t>
  </si>
  <si>
    <t>24.05.24 11:49</t>
  </si>
  <si>
    <t>31.05.24 12:38</t>
  </si>
  <si>
    <t>24.05.24 11:53</t>
  </si>
  <si>
    <t>31.05.24 12:40</t>
  </si>
  <si>
    <t>24.05.24 11:56</t>
  </si>
  <si>
    <t>31.05.24 12:42</t>
  </si>
  <si>
    <t>24.05.24 12:00</t>
  </si>
  <si>
    <t>31.05.24 12:44</t>
  </si>
  <si>
    <t>Summer</t>
  </si>
  <si>
    <t>22.08.24 10:45</t>
  </si>
  <si>
    <t>29.08.24 10:22</t>
  </si>
  <si>
    <t>AR</t>
  </si>
  <si>
    <t>21.08.24 10:19</t>
  </si>
  <si>
    <t>29.08.24 10:45</t>
  </si>
  <si>
    <t>22.08.24 10:18</t>
  </si>
  <si>
    <t>29.08.24 12:26</t>
  </si>
  <si>
    <t>21.08.24 10:27</t>
  </si>
  <si>
    <t>29.08.24 14:07</t>
  </si>
  <si>
    <t>22.08.24 11:09</t>
  </si>
  <si>
    <t>29.08.24 14:26</t>
  </si>
  <si>
    <t>21.08.24 15:15</t>
  </si>
  <si>
    <t>29.08.24 15:06</t>
  </si>
  <si>
    <t>22.08.24 10:46</t>
  </si>
  <si>
    <t>29.08.24 10:24</t>
  </si>
  <si>
    <t>21.08.24 10:46</t>
  </si>
  <si>
    <t>22.08.24 10:20</t>
  </si>
  <si>
    <t>29.08.24 12:27</t>
  </si>
  <si>
    <t>21.08.24 10:52</t>
  </si>
  <si>
    <t>29.08.24 14:08</t>
  </si>
  <si>
    <t>22.08.24 11:10</t>
  </si>
  <si>
    <t>29.08.24 14:27</t>
  </si>
  <si>
    <t>21.08.24 15:23</t>
  </si>
  <si>
    <t>29.08.24 15:08</t>
  </si>
  <si>
    <t>22.08.24 10:47</t>
  </si>
  <si>
    <t>29.08.24 10:26</t>
  </si>
  <si>
    <t>21.08.24 11:15</t>
  </si>
  <si>
    <t>29.08.24 10:46</t>
  </si>
  <si>
    <t>22.08.24 10:22</t>
  </si>
  <si>
    <t>29.08.24 12:28</t>
  </si>
  <si>
    <t>21.08.24 11:24</t>
  </si>
  <si>
    <t>29.08.24 14:09</t>
  </si>
  <si>
    <t>22.08.24 11:11</t>
  </si>
  <si>
    <t>29.08.24 14:28</t>
  </si>
  <si>
    <t>21.08.24 15:36</t>
  </si>
  <si>
    <t>22.08.24 10:49</t>
  </si>
  <si>
    <t>29.08.24 10:27</t>
  </si>
  <si>
    <t>21.08.24 11:44</t>
  </si>
  <si>
    <t>22.08.24  10:24</t>
  </si>
  <si>
    <t>29.08.24 12:29</t>
  </si>
  <si>
    <t>21.08.24 11:50</t>
  </si>
  <si>
    <t>29.08.24 14:10</t>
  </si>
  <si>
    <t>22.08.24 11:12</t>
  </si>
  <si>
    <t>21.08.24 15:41</t>
  </si>
  <si>
    <t>29.08.24 15:09</t>
  </si>
  <si>
    <t>22.08.24 10:51</t>
  </si>
  <si>
    <t>29.08.24 10:29</t>
  </si>
  <si>
    <t>21.08.24 13:15</t>
  </si>
  <si>
    <t>29.08.24 10:47</t>
  </si>
  <si>
    <t>22.08.24 10:25</t>
  </si>
  <si>
    <t>29.08.24 12:30</t>
  </si>
  <si>
    <t>21.08.24 13:21</t>
  </si>
  <si>
    <t>29.08.24 14:11</t>
  </si>
  <si>
    <t>22.08.24 11:15</t>
  </si>
  <si>
    <t>29.08.24 14:29</t>
  </si>
  <si>
    <t>21.08.24 15:44</t>
  </si>
  <si>
    <t>29.08.24 15:10</t>
  </si>
  <si>
    <t>22.08.24 10:52</t>
  </si>
  <si>
    <t>29.08.24 10:32</t>
  </si>
  <si>
    <t>19.08.24 09:14</t>
  </si>
  <si>
    <t>22.08.24 10:26</t>
  </si>
  <si>
    <t>29.08.24 12:31</t>
  </si>
  <si>
    <t>19.08.24 09:20</t>
  </si>
  <si>
    <t>22.08.24 11:16</t>
  </si>
  <si>
    <t>19.08.24 10:46</t>
  </si>
  <si>
    <t>29.08.24 15:11</t>
  </si>
  <si>
    <t>22.08.24 10:54</t>
  </si>
  <si>
    <t>29.08.24 10:33</t>
  </si>
  <si>
    <t>21.08.24 13:27</t>
  </si>
  <si>
    <t>29.08.24 10:48</t>
  </si>
  <si>
    <t>22.08.24 10:28</t>
  </si>
  <si>
    <t>29.08.24 12:32</t>
  </si>
  <si>
    <t>21.08.24 13:32</t>
  </si>
  <si>
    <t>29.08.24 14:12</t>
  </si>
  <si>
    <t>22.08.24 11:17</t>
  </si>
  <si>
    <t>29.08.24 14:30</t>
  </si>
  <si>
    <t>21.08.24 15:48</t>
  </si>
  <si>
    <t>22.08.24 10:57</t>
  </si>
  <si>
    <t>29.08.24 10:35</t>
  </si>
  <si>
    <t>19.08.24 09:41</t>
  </si>
  <si>
    <t>22.08.24 10:29</t>
  </si>
  <si>
    <t>29.08.24 12:33</t>
  </si>
  <si>
    <t>19.08.24 09:46</t>
  </si>
  <si>
    <t>22.08.24 11:18</t>
  </si>
  <si>
    <t>19.08.24 10:51</t>
  </si>
  <si>
    <t>29.08.24 15:12</t>
  </si>
  <si>
    <t xml:space="preserve">Mixed up numer 8 and 9 under weeing, but now it's correct. Comment: this is a contorl and therfore do not have any amphipods </t>
  </si>
  <si>
    <t>22.08.24 10:59</t>
  </si>
  <si>
    <t>29.08.24 10:37</t>
  </si>
  <si>
    <t>19.08.24 10:02</t>
  </si>
  <si>
    <t>29.08.24 10:49</t>
  </si>
  <si>
    <t>22.08.24 10:31</t>
  </si>
  <si>
    <t>29.08.24 12:34</t>
  </si>
  <si>
    <t>19.08.24 10:10</t>
  </si>
  <si>
    <t>29.08.24 14:13</t>
  </si>
  <si>
    <t>22.08.24 11:19</t>
  </si>
  <si>
    <t>29.08.24 14:31</t>
  </si>
  <si>
    <t>19.08.24 10:56</t>
  </si>
  <si>
    <t>22.08.24 11:00</t>
  </si>
  <si>
    <t>29.08.24 10:38</t>
  </si>
  <si>
    <t>19.08.24 10:25</t>
  </si>
  <si>
    <t>22.08.24 10:32</t>
  </si>
  <si>
    <t>29.08.24 12:35</t>
  </si>
  <si>
    <t>19.08.24 10:29</t>
  </si>
  <si>
    <t>22.08.24 11:20</t>
  </si>
  <si>
    <t>dead amphipod</t>
  </si>
  <si>
    <t>19.08.24 10:59</t>
  </si>
  <si>
    <t>29.08.24 15:13</t>
  </si>
  <si>
    <t>22.08.24 11:01</t>
  </si>
  <si>
    <t>29.08.24 10:39</t>
  </si>
  <si>
    <t>21.08.24 13:40</t>
  </si>
  <si>
    <t>29.08.24 10:50</t>
  </si>
  <si>
    <t>22.08.24 10:33</t>
  </si>
  <si>
    <t>29.08.24 12:36</t>
  </si>
  <si>
    <t>21.08.24 13:45</t>
  </si>
  <si>
    <t>29.08.24 14:14</t>
  </si>
  <si>
    <t>22.08.24 11:21</t>
  </si>
  <si>
    <t>29.08.24 14:32</t>
  </si>
  <si>
    <t>21.08.24 15:50</t>
  </si>
  <si>
    <t>29.08.24 15:14</t>
  </si>
  <si>
    <t>22.08.24 11:02</t>
  </si>
  <si>
    <t>29.08.24 10:40</t>
  </si>
  <si>
    <t>21.08.24 13:52</t>
  </si>
  <si>
    <t>22.08.24 10:35</t>
  </si>
  <si>
    <t>29.08.24 12:38</t>
  </si>
  <si>
    <t>21.08.24 13:56</t>
  </si>
  <si>
    <t>22.08.24 11:22</t>
  </si>
  <si>
    <t>21.08.24 15:53</t>
  </si>
  <si>
    <t>29.08.24 15:15</t>
  </si>
  <si>
    <t>22.08.24 11:04</t>
  </si>
  <si>
    <t>29.08.24 10:41</t>
  </si>
  <si>
    <t>21.08.24 14:01</t>
  </si>
  <si>
    <t>29.08.24 10:51</t>
  </si>
  <si>
    <t>22.08.24 10:36</t>
  </si>
  <si>
    <t>29.08.24 12:39</t>
  </si>
  <si>
    <t>21.08.24 14:05</t>
  </si>
  <si>
    <t>29.08.24 14:15</t>
  </si>
  <si>
    <t>22.08.24 11:24</t>
  </si>
  <si>
    <t>29.08.24 14:33</t>
  </si>
  <si>
    <t>21.08.24 15:56</t>
  </si>
  <si>
    <t>29.08.24 15:16</t>
  </si>
  <si>
    <t>22.08.24 10:38</t>
  </si>
  <si>
    <t>29.08.24 12:40</t>
  </si>
  <si>
    <t>21.08.24 14:10</t>
  </si>
  <si>
    <t>22.08.24 11:26</t>
  </si>
  <si>
    <t>21.08.24 16:03</t>
  </si>
  <si>
    <t>29.08.24 15:17</t>
  </si>
  <si>
    <t>22.08.24 11:08</t>
  </si>
  <si>
    <t>29.08.24 10:42</t>
  </si>
  <si>
    <t>21.08.24 14:15</t>
  </si>
  <si>
    <t>29.08.24 10:52</t>
  </si>
  <si>
    <t>22.08.24 10:39</t>
  </si>
  <si>
    <t>29.08.24 12:44</t>
  </si>
  <si>
    <t>21.08.24 14:18</t>
  </si>
  <si>
    <t>22.08.24 11:28</t>
  </si>
  <si>
    <t>29.08.24 14:34</t>
  </si>
  <si>
    <t>21.08.24 16:01</t>
  </si>
  <si>
    <t>29.08.24 15:18</t>
  </si>
  <si>
    <t>Choice</t>
  </si>
  <si>
    <t>Reconstituted</t>
  </si>
  <si>
    <t>U1-J</t>
  </si>
  <si>
    <t>16.10.24</t>
  </si>
  <si>
    <t>23.10.24 13:01</t>
  </si>
  <si>
    <t>23.10.24 13:57</t>
  </si>
  <si>
    <t>05.12.24</t>
  </si>
  <si>
    <t>12.12.24</t>
  </si>
  <si>
    <t>U3-J</t>
  </si>
  <si>
    <t>23.10.24 13:37</t>
  </si>
  <si>
    <t>U4-J</t>
  </si>
  <si>
    <t>23.10.24 13:02</t>
  </si>
  <si>
    <t>23.10.24 13:58</t>
  </si>
  <si>
    <t>2–3°C warmer</t>
  </si>
  <si>
    <t>23.10.24 13:03</t>
  </si>
  <si>
    <t>23.10.24 13:59</t>
  </si>
  <si>
    <t>23.10.24 13:04</t>
  </si>
  <si>
    <t>U11-J</t>
  </si>
  <si>
    <t>23.10.24 13:05</t>
  </si>
  <si>
    <t>very few faeces but water has normal temperature and amphipod looked healty</t>
  </si>
  <si>
    <t>U13-J</t>
  </si>
  <si>
    <t>lots of faeces and pink colouration in the arena but the amphipod looked fine</t>
  </si>
  <si>
    <t>23.10.24 14:00</t>
  </si>
  <si>
    <t>U14-J</t>
  </si>
  <si>
    <t>23.10.24 13:06</t>
  </si>
  <si>
    <t>2–3°C warmer, lots of faeces</t>
  </si>
  <si>
    <t xml:space="preserve">This is correct, the caculation here was wrong </t>
  </si>
  <si>
    <t xml:space="preserve">This is correct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</si>
</sst>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164" fontId="0" fillId="0" borderId="0" xfId="0" applyNumberFormat="1"/>
    <xf numFmtId="164" fontId="0" fillId="33" borderId="0" xfId="0" applyNumberFormat="1" applyFill="1"/>
    <xf numFmtId="0" fontId="0" fillId="34" borderId="0" xfId="0" applyFill="1"/>
    <xf numFmtId="0" fontId="0" fillId="35" borderId="0" xfId="0" applyFill="1"/>
    <xf numFmtId="164" fontId="0" fillId="36" borderId="0" xfId="0" applyNumberFormat="1" applyFill="1"/>
    <xf numFmtId="0" fontId="0" fillId="37" borderId="0" xfId="0" applyFill="1"/>
    <xf numFmtId="0" fontId="0" fillId="37" borderId="0" xfId="0" applyFill="1" applyAlignment="1">
      <alignment horizontal="center"/>
    </xf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94642-8522-442C-BFCE-E8C6576A462C}">
  <dimension ref="A1:AE224"/>
  <sheetViews>
    <sheetView tabSelected="1" zoomScale="69" workbookViewId="0">
      <selection activeCell="V158" sqref="V158"/>
    </sheetView>
  </sheetViews>
  <sheetFormatPr baseColWidth="10" defaultColWidth="8.796875" defaultRowHeight="14.25" x14ac:dyDescent="0.45"/>
  <cols>
    <col min="13" max="14" width="8.796875" style="2"/>
    <col min="30" max="30" width="20.796875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 t="s">
        <v>21</v>
      </c>
      <c r="C2" t="s">
        <v>22</v>
      </c>
      <c r="D2" t="s">
        <v>23</v>
      </c>
      <c r="E2">
        <v>1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1.0840000000000001</v>
      </c>
      <c r="L2">
        <v>0.754</v>
      </c>
      <c r="M2" s="2" t="s">
        <v>29</v>
      </c>
      <c r="N2" s="2" t="s">
        <v>29</v>
      </c>
      <c r="O2">
        <v>0.111</v>
      </c>
      <c r="P2">
        <v>8.2000000000000003E-2</v>
      </c>
      <c r="Q2">
        <v>0.13700000000000001</v>
      </c>
      <c r="R2" t="s">
        <v>29</v>
      </c>
      <c r="S2" t="s">
        <v>30</v>
      </c>
    </row>
    <row r="3" spans="1:20" x14ac:dyDescent="0.45">
      <c r="A3" t="s">
        <v>20</v>
      </c>
      <c r="B3" t="s">
        <v>21</v>
      </c>
      <c r="C3" t="s">
        <v>22</v>
      </c>
      <c r="D3" t="s">
        <v>31</v>
      </c>
      <c r="E3">
        <v>1</v>
      </c>
      <c r="F3" t="s">
        <v>24</v>
      </c>
      <c r="G3" t="s">
        <v>25</v>
      </c>
      <c r="H3" t="s">
        <v>32</v>
      </c>
      <c r="I3" t="s">
        <v>32</v>
      </c>
      <c r="J3" t="s">
        <v>28</v>
      </c>
      <c r="K3">
        <v>1.29</v>
      </c>
      <c r="L3">
        <v>1.0269999999999999</v>
      </c>
      <c r="M3" s="2" t="s">
        <v>29</v>
      </c>
      <c r="N3" s="2" t="s">
        <v>29</v>
      </c>
      <c r="O3">
        <v>0.14099999999999999</v>
      </c>
      <c r="P3" t="s">
        <v>29</v>
      </c>
      <c r="Q3" t="s">
        <v>29</v>
      </c>
      <c r="R3" t="s">
        <v>29</v>
      </c>
      <c r="S3" t="s">
        <v>30</v>
      </c>
    </row>
    <row r="4" spans="1:20" x14ac:dyDescent="0.45">
      <c r="A4" t="s">
        <v>20</v>
      </c>
      <c r="B4" t="s">
        <v>21</v>
      </c>
      <c r="C4" t="s">
        <v>22</v>
      </c>
      <c r="D4" t="s">
        <v>33</v>
      </c>
      <c r="E4">
        <v>2</v>
      </c>
      <c r="F4" t="s">
        <v>34</v>
      </c>
      <c r="G4" t="s">
        <v>35</v>
      </c>
      <c r="H4" t="s">
        <v>26</v>
      </c>
      <c r="I4" t="s">
        <v>27</v>
      </c>
      <c r="J4" t="s">
        <v>28</v>
      </c>
      <c r="K4">
        <v>1.07</v>
      </c>
      <c r="L4">
        <v>0.73</v>
      </c>
      <c r="M4" s="2" t="s">
        <v>29</v>
      </c>
      <c r="N4" s="2" t="s">
        <v>29</v>
      </c>
      <c r="O4">
        <v>0.105</v>
      </c>
      <c r="P4">
        <v>8.8999999999999996E-2</v>
      </c>
      <c r="Q4">
        <v>7.6999999999999999E-2</v>
      </c>
      <c r="R4" t="s">
        <v>29</v>
      </c>
      <c r="S4" t="s">
        <v>30</v>
      </c>
    </row>
    <row r="5" spans="1:20" x14ac:dyDescent="0.45">
      <c r="A5" t="s">
        <v>20</v>
      </c>
      <c r="B5" t="s">
        <v>21</v>
      </c>
      <c r="C5" t="s">
        <v>22</v>
      </c>
      <c r="D5" t="s">
        <v>36</v>
      </c>
      <c r="E5">
        <v>2</v>
      </c>
      <c r="F5" t="s">
        <v>34</v>
      </c>
      <c r="G5" t="s">
        <v>35</v>
      </c>
      <c r="H5" t="s">
        <v>32</v>
      </c>
      <c r="I5" t="s">
        <v>32</v>
      </c>
      <c r="J5" t="s">
        <v>28</v>
      </c>
      <c r="K5">
        <v>1.5169999999999999</v>
      </c>
      <c r="L5">
        <v>1.069</v>
      </c>
      <c r="M5" s="2" t="s">
        <v>29</v>
      </c>
      <c r="N5" s="2" t="s">
        <v>29</v>
      </c>
      <c r="O5">
        <v>0.106</v>
      </c>
      <c r="P5" t="s">
        <v>29</v>
      </c>
      <c r="Q5" t="s">
        <v>29</v>
      </c>
      <c r="R5" t="s">
        <v>29</v>
      </c>
      <c r="S5" t="s">
        <v>30</v>
      </c>
      <c r="T5" t="s">
        <v>37</v>
      </c>
    </row>
    <row r="6" spans="1:20" x14ac:dyDescent="0.45">
      <c r="A6" t="s">
        <v>20</v>
      </c>
      <c r="B6" t="s">
        <v>21</v>
      </c>
      <c r="C6" t="s">
        <v>22</v>
      </c>
      <c r="D6" t="s">
        <v>38</v>
      </c>
      <c r="E6">
        <v>3</v>
      </c>
      <c r="F6" t="s">
        <v>39</v>
      </c>
      <c r="G6" t="s">
        <v>40</v>
      </c>
      <c r="H6" t="s">
        <v>26</v>
      </c>
      <c r="I6" t="s">
        <v>27</v>
      </c>
      <c r="J6" t="s">
        <v>28</v>
      </c>
      <c r="K6">
        <v>0.85699999999999998</v>
      </c>
      <c r="L6">
        <v>0.82899999999999996</v>
      </c>
      <c r="M6" s="2" t="s">
        <v>29</v>
      </c>
      <c r="N6" s="2" t="s">
        <v>29</v>
      </c>
      <c r="O6">
        <v>0.124</v>
      </c>
      <c r="P6">
        <v>6.3E-2</v>
      </c>
      <c r="Q6">
        <v>4.2000000000000003E-2</v>
      </c>
      <c r="R6" t="s">
        <v>29</v>
      </c>
      <c r="S6" t="s">
        <v>30</v>
      </c>
    </row>
    <row r="7" spans="1:20" x14ac:dyDescent="0.45">
      <c r="A7" t="s">
        <v>20</v>
      </c>
      <c r="B7" t="s">
        <v>21</v>
      </c>
      <c r="C7" t="s">
        <v>22</v>
      </c>
      <c r="D7" t="s">
        <v>41</v>
      </c>
      <c r="E7">
        <v>3</v>
      </c>
      <c r="F7" t="s">
        <v>39</v>
      </c>
      <c r="G7" t="s">
        <v>40</v>
      </c>
      <c r="H7" t="s">
        <v>32</v>
      </c>
      <c r="I7" t="s">
        <v>32</v>
      </c>
      <c r="J7" t="s">
        <v>28</v>
      </c>
      <c r="K7">
        <v>0.91100000000000003</v>
      </c>
      <c r="L7">
        <v>0.89500000000000002</v>
      </c>
      <c r="M7" s="2" t="s">
        <v>29</v>
      </c>
      <c r="N7" s="2" t="s">
        <v>29</v>
      </c>
      <c r="O7">
        <v>0.13100000000000001</v>
      </c>
      <c r="P7" t="s">
        <v>29</v>
      </c>
      <c r="Q7" t="s">
        <v>29</v>
      </c>
      <c r="R7" t="s">
        <v>29</v>
      </c>
      <c r="S7" t="s">
        <v>30</v>
      </c>
    </row>
    <row r="8" spans="1:20" x14ac:dyDescent="0.45">
      <c r="A8" t="s">
        <v>20</v>
      </c>
      <c r="B8" t="s">
        <v>21</v>
      </c>
      <c r="C8" t="s">
        <v>22</v>
      </c>
      <c r="D8" t="s">
        <v>42</v>
      </c>
      <c r="E8">
        <v>4</v>
      </c>
      <c r="F8" t="s">
        <v>43</v>
      </c>
      <c r="G8" t="s">
        <v>44</v>
      </c>
      <c r="H8" t="s">
        <v>26</v>
      </c>
      <c r="I8" t="s">
        <v>27</v>
      </c>
      <c r="J8" t="s">
        <v>28</v>
      </c>
      <c r="K8">
        <v>0.879</v>
      </c>
      <c r="L8">
        <v>0.629</v>
      </c>
      <c r="M8" s="2" t="s">
        <v>29</v>
      </c>
      <c r="N8" s="2" t="s">
        <v>29</v>
      </c>
      <c r="O8">
        <v>8.5999999999999993E-2</v>
      </c>
      <c r="P8">
        <v>7.0000000000000007E-2</v>
      </c>
      <c r="Q8">
        <v>0.48</v>
      </c>
      <c r="R8" t="s">
        <v>29</v>
      </c>
      <c r="S8" t="s">
        <v>30</v>
      </c>
    </row>
    <row r="9" spans="1:20" x14ac:dyDescent="0.45">
      <c r="A9" t="s">
        <v>20</v>
      </c>
      <c r="B9" t="s">
        <v>21</v>
      </c>
      <c r="C9" t="s">
        <v>22</v>
      </c>
      <c r="D9" t="s">
        <v>45</v>
      </c>
      <c r="E9">
        <v>4</v>
      </c>
      <c r="F9" t="s">
        <v>43</v>
      </c>
      <c r="G9" t="s">
        <v>44</v>
      </c>
      <c r="H9" t="s">
        <v>32</v>
      </c>
      <c r="I9" t="s">
        <v>32</v>
      </c>
      <c r="J9" t="s">
        <v>28</v>
      </c>
      <c r="K9">
        <v>0.96799999999999997</v>
      </c>
      <c r="L9">
        <v>0.95499999999999996</v>
      </c>
      <c r="M9" s="2" t="s">
        <v>29</v>
      </c>
      <c r="N9" s="2" t="s">
        <v>29</v>
      </c>
      <c r="O9">
        <v>0.11799999999999999</v>
      </c>
      <c r="P9" t="s">
        <v>29</v>
      </c>
      <c r="Q9" t="s">
        <v>29</v>
      </c>
      <c r="R9" t="s">
        <v>29</v>
      </c>
      <c r="S9" t="s">
        <v>30</v>
      </c>
      <c r="T9" t="s">
        <v>46</v>
      </c>
    </row>
    <row r="10" spans="1:20" x14ac:dyDescent="0.45">
      <c r="A10" t="s">
        <v>20</v>
      </c>
      <c r="B10" t="s">
        <v>21</v>
      </c>
      <c r="C10" t="s">
        <v>22</v>
      </c>
      <c r="D10" t="s">
        <v>47</v>
      </c>
      <c r="E10">
        <v>5</v>
      </c>
      <c r="F10" t="s">
        <v>48</v>
      </c>
      <c r="G10" t="s">
        <v>49</v>
      </c>
      <c r="H10" t="s">
        <v>26</v>
      </c>
      <c r="I10" t="s">
        <v>27</v>
      </c>
      <c r="J10" t="s">
        <v>28</v>
      </c>
      <c r="K10">
        <v>1.1060000000000001</v>
      </c>
      <c r="L10">
        <v>1.0429999999999999</v>
      </c>
      <c r="M10" s="2" t="s">
        <v>29</v>
      </c>
      <c r="N10" s="2" t="s">
        <v>29</v>
      </c>
      <c r="O10">
        <v>0.13</v>
      </c>
      <c r="P10">
        <v>3.9E-2</v>
      </c>
      <c r="Q10">
        <v>3.2000000000000001E-2</v>
      </c>
      <c r="R10" t="s">
        <v>29</v>
      </c>
      <c r="S10" t="s">
        <v>30</v>
      </c>
    </row>
    <row r="11" spans="1:20" x14ac:dyDescent="0.45">
      <c r="A11" t="s">
        <v>20</v>
      </c>
      <c r="B11" t="s">
        <v>21</v>
      </c>
      <c r="C11" t="s">
        <v>22</v>
      </c>
      <c r="D11" t="s">
        <v>50</v>
      </c>
      <c r="E11">
        <v>5</v>
      </c>
      <c r="F11" t="s">
        <v>48</v>
      </c>
      <c r="G11" t="s">
        <v>49</v>
      </c>
      <c r="H11" t="s">
        <v>32</v>
      </c>
      <c r="I11" t="s">
        <v>32</v>
      </c>
      <c r="J11" t="s">
        <v>28</v>
      </c>
      <c r="K11">
        <v>0.77500000000000002</v>
      </c>
      <c r="L11">
        <v>0.751</v>
      </c>
      <c r="M11" s="2" t="s">
        <v>29</v>
      </c>
      <c r="N11" s="2" t="s">
        <v>29</v>
      </c>
      <c r="O11">
        <v>0.11</v>
      </c>
      <c r="P11" t="s">
        <v>29</v>
      </c>
      <c r="Q11" t="s">
        <v>29</v>
      </c>
      <c r="R11" t="s">
        <v>29</v>
      </c>
      <c r="S11" t="s">
        <v>30</v>
      </c>
    </row>
    <row r="12" spans="1:20" x14ac:dyDescent="0.45">
      <c r="A12" t="s">
        <v>20</v>
      </c>
      <c r="B12" t="s">
        <v>21</v>
      </c>
      <c r="C12" t="s">
        <v>22</v>
      </c>
      <c r="D12" t="s">
        <v>51</v>
      </c>
      <c r="E12">
        <v>6</v>
      </c>
      <c r="F12" t="s">
        <v>52</v>
      </c>
      <c r="G12" t="s">
        <v>53</v>
      </c>
      <c r="H12" t="s">
        <v>26</v>
      </c>
      <c r="I12" t="s">
        <v>27</v>
      </c>
      <c r="J12" t="s">
        <v>28</v>
      </c>
      <c r="K12">
        <v>1.0069999999999999</v>
      </c>
      <c r="L12">
        <v>0.87</v>
      </c>
      <c r="M12" s="2" t="s">
        <v>29</v>
      </c>
      <c r="N12" s="2" t="s">
        <v>29</v>
      </c>
      <c r="O12">
        <v>0.115</v>
      </c>
      <c r="P12">
        <v>0.13500000000000001</v>
      </c>
      <c r="Q12">
        <v>9.0999999999999998E-2</v>
      </c>
      <c r="R12" t="s">
        <v>29</v>
      </c>
      <c r="S12" t="s">
        <v>30</v>
      </c>
    </row>
    <row r="13" spans="1:20" x14ac:dyDescent="0.45">
      <c r="A13" t="s">
        <v>20</v>
      </c>
      <c r="B13" t="s">
        <v>21</v>
      </c>
      <c r="C13" t="s">
        <v>22</v>
      </c>
      <c r="D13" t="s">
        <v>54</v>
      </c>
      <c r="E13">
        <v>6</v>
      </c>
      <c r="F13" t="s">
        <v>52</v>
      </c>
      <c r="G13" t="s">
        <v>53</v>
      </c>
      <c r="H13" t="s">
        <v>32</v>
      </c>
      <c r="I13" t="s">
        <v>32</v>
      </c>
      <c r="J13" t="s">
        <v>28</v>
      </c>
      <c r="K13">
        <v>1.4370000000000001</v>
      </c>
      <c r="L13">
        <v>0.86299999999999999</v>
      </c>
      <c r="M13" s="2" t="s">
        <v>29</v>
      </c>
      <c r="N13" s="2" t="s">
        <v>29</v>
      </c>
      <c r="O13">
        <v>0.113</v>
      </c>
      <c r="P13" t="s">
        <v>29</v>
      </c>
      <c r="Q13" t="s">
        <v>29</v>
      </c>
      <c r="R13" t="s">
        <v>29</v>
      </c>
      <c r="S13" t="s">
        <v>30</v>
      </c>
      <c r="T13" t="s">
        <v>55</v>
      </c>
    </row>
    <row r="14" spans="1:20" x14ac:dyDescent="0.45">
      <c r="A14" t="s">
        <v>20</v>
      </c>
      <c r="B14" t="s">
        <v>21</v>
      </c>
      <c r="C14" t="s">
        <v>22</v>
      </c>
      <c r="D14" t="s">
        <v>56</v>
      </c>
      <c r="E14">
        <v>7</v>
      </c>
      <c r="F14" t="s">
        <v>57</v>
      </c>
      <c r="G14" t="s">
        <v>53</v>
      </c>
      <c r="H14" t="s">
        <v>26</v>
      </c>
      <c r="I14" t="s">
        <v>27</v>
      </c>
      <c r="J14" t="s">
        <v>28</v>
      </c>
      <c r="K14">
        <v>0.77300000000000002</v>
      </c>
      <c r="L14">
        <v>0.59599999999999997</v>
      </c>
      <c r="M14" s="2" t="s">
        <v>29</v>
      </c>
      <c r="N14" s="2" t="s">
        <v>29</v>
      </c>
      <c r="O14">
        <v>8.8999999999999996E-2</v>
      </c>
      <c r="P14">
        <v>5.8000000000000003E-2</v>
      </c>
      <c r="Q14">
        <v>3.9E-2</v>
      </c>
      <c r="R14" t="s">
        <v>29</v>
      </c>
      <c r="S14" t="s">
        <v>30</v>
      </c>
    </row>
    <row r="15" spans="1:20" x14ac:dyDescent="0.45">
      <c r="A15" t="s">
        <v>20</v>
      </c>
      <c r="B15" t="s">
        <v>21</v>
      </c>
      <c r="C15" t="s">
        <v>22</v>
      </c>
      <c r="D15" t="s">
        <v>58</v>
      </c>
      <c r="E15">
        <v>7</v>
      </c>
      <c r="F15" t="s">
        <v>57</v>
      </c>
      <c r="G15" t="s">
        <v>53</v>
      </c>
      <c r="H15" t="s">
        <v>32</v>
      </c>
      <c r="I15" t="s">
        <v>32</v>
      </c>
      <c r="J15" t="s">
        <v>28</v>
      </c>
      <c r="K15">
        <v>1.296</v>
      </c>
      <c r="L15">
        <v>0.77400000000000002</v>
      </c>
      <c r="M15" s="2" t="s">
        <v>29</v>
      </c>
      <c r="N15" s="2" t="s">
        <v>29</v>
      </c>
      <c r="O15">
        <v>7.5999999999999998E-2</v>
      </c>
      <c r="P15" t="s">
        <v>29</v>
      </c>
      <c r="Q15" t="s">
        <v>29</v>
      </c>
      <c r="R15" t="s">
        <v>29</v>
      </c>
      <c r="S15" t="s">
        <v>30</v>
      </c>
    </row>
    <row r="16" spans="1:20" x14ac:dyDescent="0.45">
      <c r="A16" t="s">
        <v>20</v>
      </c>
      <c r="B16" t="s">
        <v>21</v>
      </c>
      <c r="C16" t="s">
        <v>22</v>
      </c>
      <c r="D16" t="s">
        <v>59</v>
      </c>
      <c r="E16">
        <v>8</v>
      </c>
      <c r="F16" t="s">
        <v>60</v>
      </c>
      <c r="G16" t="s">
        <v>61</v>
      </c>
      <c r="H16" t="s">
        <v>26</v>
      </c>
      <c r="I16" t="s">
        <v>27</v>
      </c>
      <c r="J16" t="s">
        <v>28</v>
      </c>
      <c r="K16">
        <v>0.94699999999999995</v>
      </c>
      <c r="L16">
        <v>0.82099999999999995</v>
      </c>
      <c r="M16" s="2" t="s">
        <v>29</v>
      </c>
      <c r="N16" s="2" t="s">
        <v>29</v>
      </c>
      <c r="O16">
        <v>0.12</v>
      </c>
      <c r="P16">
        <v>0.11700000000000001</v>
      </c>
      <c r="Q16">
        <v>0.1</v>
      </c>
      <c r="R16" t="s">
        <v>29</v>
      </c>
      <c r="S16" t="s">
        <v>30</v>
      </c>
    </row>
    <row r="17" spans="1:20" x14ac:dyDescent="0.45">
      <c r="A17" t="s">
        <v>20</v>
      </c>
      <c r="B17" t="s">
        <v>21</v>
      </c>
      <c r="C17" t="s">
        <v>22</v>
      </c>
      <c r="D17" t="s">
        <v>62</v>
      </c>
      <c r="E17">
        <v>8</v>
      </c>
      <c r="F17" t="s">
        <v>60</v>
      </c>
      <c r="G17" t="s">
        <v>61</v>
      </c>
      <c r="H17" t="s">
        <v>32</v>
      </c>
      <c r="I17" t="s">
        <v>32</v>
      </c>
      <c r="J17" t="s">
        <v>28</v>
      </c>
      <c r="K17">
        <v>0.82099999999999995</v>
      </c>
      <c r="L17">
        <v>0.75800000000000001</v>
      </c>
      <c r="M17" s="2" t="s">
        <v>29</v>
      </c>
      <c r="N17" s="2" t="s">
        <v>29</v>
      </c>
      <c r="O17">
        <v>0.11600000000000001</v>
      </c>
      <c r="P17" t="s">
        <v>29</v>
      </c>
      <c r="Q17" t="s">
        <v>29</v>
      </c>
      <c r="R17" t="s">
        <v>29</v>
      </c>
      <c r="S17" t="s">
        <v>30</v>
      </c>
    </row>
    <row r="18" spans="1:20" x14ac:dyDescent="0.45">
      <c r="A18" t="s">
        <v>20</v>
      </c>
      <c r="B18" t="s">
        <v>21</v>
      </c>
      <c r="C18" t="s">
        <v>22</v>
      </c>
      <c r="D18" t="s">
        <v>63</v>
      </c>
      <c r="E18">
        <v>9</v>
      </c>
      <c r="F18" t="s">
        <v>64</v>
      </c>
      <c r="G18" t="s">
        <v>65</v>
      </c>
      <c r="H18" t="s">
        <v>26</v>
      </c>
      <c r="I18" t="s">
        <v>27</v>
      </c>
      <c r="J18" t="s">
        <v>28</v>
      </c>
      <c r="K18">
        <v>0.85699999999999998</v>
      </c>
      <c r="L18">
        <v>0.59299999999999997</v>
      </c>
      <c r="M18" s="2" t="s">
        <v>29</v>
      </c>
      <c r="N18" s="2" t="s">
        <v>29</v>
      </c>
      <c r="O18">
        <v>9.0999999999999998E-2</v>
      </c>
      <c r="P18">
        <v>0.127</v>
      </c>
      <c r="Q18">
        <v>9.9000000000000005E-2</v>
      </c>
      <c r="R18" t="s">
        <v>29</v>
      </c>
      <c r="S18" t="s">
        <v>30</v>
      </c>
    </row>
    <row r="19" spans="1:20" x14ac:dyDescent="0.45">
      <c r="A19" t="s">
        <v>20</v>
      </c>
      <c r="B19" t="s">
        <v>21</v>
      </c>
      <c r="C19" t="s">
        <v>22</v>
      </c>
      <c r="D19" t="s">
        <v>66</v>
      </c>
      <c r="E19">
        <v>9</v>
      </c>
      <c r="F19" t="s">
        <v>64</v>
      </c>
      <c r="G19" t="s">
        <v>65</v>
      </c>
      <c r="H19" t="s">
        <v>32</v>
      </c>
      <c r="I19" t="s">
        <v>32</v>
      </c>
      <c r="J19" t="s">
        <v>28</v>
      </c>
      <c r="K19">
        <v>1.1140000000000001</v>
      </c>
      <c r="L19">
        <v>1.0429999999999999</v>
      </c>
      <c r="M19" s="2" t="s">
        <v>29</v>
      </c>
      <c r="N19" s="2" t="s">
        <v>29</v>
      </c>
      <c r="O19">
        <v>0.123</v>
      </c>
      <c r="P19" t="s">
        <v>29</v>
      </c>
      <c r="Q19" t="s">
        <v>29</v>
      </c>
      <c r="R19" t="s">
        <v>29</v>
      </c>
      <c r="S19" t="s">
        <v>30</v>
      </c>
    </row>
    <row r="20" spans="1:20" x14ac:dyDescent="0.45">
      <c r="A20" t="s">
        <v>20</v>
      </c>
      <c r="B20" t="s">
        <v>21</v>
      </c>
      <c r="C20" t="s">
        <v>22</v>
      </c>
      <c r="D20" t="s">
        <v>67</v>
      </c>
      <c r="E20">
        <v>10</v>
      </c>
      <c r="F20" t="s">
        <v>68</v>
      </c>
      <c r="G20" t="s">
        <v>69</v>
      </c>
      <c r="H20" t="s">
        <v>26</v>
      </c>
      <c r="I20" t="s">
        <v>27</v>
      </c>
      <c r="J20" t="s">
        <v>28</v>
      </c>
      <c r="K20">
        <v>0.85299999999999998</v>
      </c>
      <c r="L20">
        <v>0.71799999999999997</v>
      </c>
      <c r="M20" s="2" t="s">
        <v>29</v>
      </c>
      <c r="N20" s="2" t="s">
        <v>29</v>
      </c>
      <c r="O20">
        <v>9.9000000000000005E-2</v>
      </c>
      <c r="P20">
        <v>0.114</v>
      </c>
      <c r="Q20">
        <v>9.4E-2</v>
      </c>
      <c r="R20" t="s">
        <v>29</v>
      </c>
      <c r="S20" t="s">
        <v>30</v>
      </c>
    </row>
    <row r="21" spans="1:20" x14ac:dyDescent="0.45">
      <c r="A21" t="s">
        <v>20</v>
      </c>
      <c r="B21" t="s">
        <v>21</v>
      </c>
      <c r="C21" t="s">
        <v>22</v>
      </c>
      <c r="D21" t="s">
        <v>70</v>
      </c>
      <c r="E21">
        <v>10</v>
      </c>
      <c r="F21" t="s">
        <v>68</v>
      </c>
      <c r="G21" t="s">
        <v>69</v>
      </c>
      <c r="H21" t="s">
        <v>32</v>
      </c>
      <c r="I21" t="s">
        <v>32</v>
      </c>
      <c r="J21" t="s">
        <v>28</v>
      </c>
      <c r="K21">
        <v>0.85699999999999998</v>
      </c>
      <c r="L21">
        <v>0.71299999999999997</v>
      </c>
      <c r="M21" s="2" t="s">
        <v>29</v>
      </c>
      <c r="N21" s="2" t="s">
        <v>29</v>
      </c>
      <c r="O21">
        <v>9.2999999999999999E-2</v>
      </c>
      <c r="P21" t="s">
        <v>29</v>
      </c>
      <c r="Q21" t="s">
        <v>29</v>
      </c>
      <c r="R21" t="s">
        <v>29</v>
      </c>
      <c r="S21" t="s">
        <v>30</v>
      </c>
    </row>
    <row r="22" spans="1:20" x14ac:dyDescent="0.45">
      <c r="A22" t="s">
        <v>20</v>
      </c>
      <c r="B22" t="s">
        <v>21</v>
      </c>
      <c r="C22" t="s">
        <v>22</v>
      </c>
      <c r="D22" t="s">
        <v>71</v>
      </c>
      <c r="E22">
        <v>11</v>
      </c>
      <c r="F22" t="s">
        <v>72</v>
      </c>
      <c r="G22" t="s">
        <v>69</v>
      </c>
      <c r="H22" t="s">
        <v>26</v>
      </c>
      <c r="I22" t="s">
        <v>27</v>
      </c>
      <c r="J22" t="s">
        <v>28</v>
      </c>
      <c r="K22">
        <v>0.84099999999999997</v>
      </c>
      <c r="L22">
        <v>0.70799999999999996</v>
      </c>
      <c r="M22" s="2" t="s">
        <v>29</v>
      </c>
      <c r="N22" s="2" t="s">
        <v>29</v>
      </c>
      <c r="O22">
        <v>9.1999999999999998E-2</v>
      </c>
      <c r="P22">
        <v>6.5000000000000002E-2</v>
      </c>
      <c r="Q22">
        <v>4.8000000000000001E-2</v>
      </c>
      <c r="R22" t="s">
        <v>29</v>
      </c>
      <c r="S22" t="s">
        <v>30</v>
      </c>
    </row>
    <row r="23" spans="1:20" x14ac:dyDescent="0.45">
      <c r="A23" t="s">
        <v>20</v>
      </c>
      <c r="B23" t="s">
        <v>21</v>
      </c>
      <c r="C23" t="s">
        <v>22</v>
      </c>
      <c r="D23" t="s">
        <v>73</v>
      </c>
      <c r="E23">
        <v>11</v>
      </c>
      <c r="F23" t="s">
        <v>72</v>
      </c>
      <c r="G23" t="s">
        <v>69</v>
      </c>
      <c r="H23" t="s">
        <v>32</v>
      </c>
      <c r="I23" t="s">
        <v>32</v>
      </c>
      <c r="J23" t="s">
        <v>28</v>
      </c>
      <c r="K23">
        <v>1.4550000000000001</v>
      </c>
      <c r="L23">
        <v>1.196</v>
      </c>
      <c r="M23" s="2" t="s">
        <v>29</v>
      </c>
      <c r="N23" s="2" t="s">
        <v>29</v>
      </c>
      <c r="O23">
        <v>0.11899999999999999</v>
      </c>
      <c r="P23" t="s">
        <v>29</v>
      </c>
      <c r="Q23" t="s">
        <v>29</v>
      </c>
      <c r="R23" t="s">
        <v>29</v>
      </c>
      <c r="S23" t="s">
        <v>30</v>
      </c>
    </row>
    <row r="24" spans="1:20" x14ac:dyDescent="0.45">
      <c r="A24" t="s">
        <v>20</v>
      </c>
      <c r="B24" t="s">
        <v>21</v>
      </c>
      <c r="C24" t="s">
        <v>22</v>
      </c>
      <c r="D24" t="s">
        <v>74</v>
      </c>
      <c r="E24">
        <v>12</v>
      </c>
      <c r="F24" t="s">
        <v>75</v>
      </c>
      <c r="G24" t="s">
        <v>76</v>
      </c>
      <c r="H24" t="s">
        <v>26</v>
      </c>
      <c r="I24" t="s">
        <v>27</v>
      </c>
      <c r="J24" t="s">
        <v>28</v>
      </c>
      <c r="K24">
        <v>0.83099999999999996</v>
      </c>
      <c r="L24">
        <v>0.58099999999999996</v>
      </c>
      <c r="M24" s="2" t="s">
        <v>29</v>
      </c>
      <c r="N24" s="2" t="s">
        <v>29</v>
      </c>
      <c r="O24">
        <v>8.1000000000000003E-2</v>
      </c>
      <c r="P24">
        <v>0.06</v>
      </c>
      <c r="Q24">
        <v>6.7000000000000004E-2</v>
      </c>
      <c r="R24" t="s">
        <v>29</v>
      </c>
      <c r="S24" t="s">
        <v>30</v>
      </c>
    </row>
    <row r="25" spans="1:20" x14ac:dyDescent="0.45">
      <c r="A25" t="s">
        <v>20</v>
      </c>
      <c r="B25" t="s">
        <v>21</v>
      </c>
      <c r="C25" t="s">
        <v>22</v>
      </c>
      <c r="D25" t="s">
        <v>77</v>
      </c>
      <c r="E25">
        <v>12</v>
      </c>
      <c r="F25" t="s">
        <v>75</v>
      </c>
      <c r="G25" t="s">
        <v>76</v>
      </c>
      <c r="H25" t="s">
        <v>32</v>
      </c>
      <c r="I25" t="s">
        <v>32</v>
      </c>
      <c r="J25" t="s">
        <v>28</v>
      </c>
      <c r="K25">
        <v>0.92300000000000004</v>
      </c>
      <c r="L25">
        <v>0.86699999999999999</v>
      </c>
      <c r="M25" s="2" t="s">
        <v>29</v>
      </c>
      <c r="N25" s="2" t="s">
        <v>29</v>
      </c>
      <c r="O25">
        <v>0.124</v>
      </c>
      <c r="P25" t="s">
        <v>29</v>
      </c>
      <c r="Q25" t="s">
        <v>29</v>
      </c>
      <c r="R25" t="s">
        <v>29</v>
      </c>
      <c r="S25" t="s">
        <v>30</v>
      </c>
    </row>
    <row r="26" spans="1:20" x14ac:dyDescent="0.45">
      <c r="A26" t="s">
        <v>20</v>
      </c>
      <c r="B26" t="s">
        <v>21</v>
      </c>
      <c r="C26" t="s">
        <v>22</v>
      </c>
      <c r="D26" t="s">
        <v>78</v>
      </c>
      <c r="E26">
        <v>13</v>
      </c>
      <c r="F26" t="s">
        <v>79</v>
      </c>
      <c r="G26" t="s">
        <v>80</v>
      </c>
      <c r="H26" t="s">
        <v>26</v>
      </c>
      <c r="I26" t="s">
        <v>27</v>
      </c>
      <c r="J26" t="s">
        <v>28</v>
      </c>
      <c r="K26">
        <v>1.054</v>
      </c>
      <c r="L26">
        <v>0.83</v>
      </c>
      <c r="M26" s="2" t="s">
        <v>29</v>
      </c>
      <c r="N26" s="2" t="s">
        <v>29</v>
      </c>
      <c r="O26">
        <v>0.10199999999999999</v>
      </c>
      <c r="P26">
        <v>5.0999999999999997E-2</v>
      </c>
      <c r="Q26">
        <v>2.4E-2</v>
      </c>
      <c r="R26" t="s">
        <v>29</v>
      </c>
      <c r="S26" t="s">
        <v>30</v>
      </c>
    </row>
    <row r="27" spans="1:20" x14ac:dyDescent="0.45">
      <c r="A27" t="s">
        <v>20</v>
      </c>
      <c r="B27" t="s">
        <v>21</v>
      </c>
      <c r="C27" t="s">
        <v>22</v>
      </c>
      <c r="D27" t="s">
        <v>81</v>
      </c>
      <c r="E27">
        <v>13</v>
      </c>
      <c r="F27" t="s">
        <v>79</v>
      </c>
      <c r="G27" t="s">
        <v>80</v>
      </c>
      <c r="H27" t="s">
        <v>32</v>
      </c>
      <c r="I27" t="s">
        <v>32</v>
      </c>
      <c r="J27" t="s">
        <v>28</v>
      </c>
      <c r="K27">
        <v>0.97399999999999998</v>
      </c>
      <c r="L27">
        <v>0.92500000000000004</v>
      </c>
      <c r="M27" s="2" t="s">
        <v>29</v>
      </c>
      <c r="N27" s="2" t="s">
        <v>29</v>
      </c>
      <c r="O27">
        <v>0.10100000000000001</v>
      </c>
      <c r="P27" t="s">
        <v>29</v>
      </c>
      <c r="Q27" t="s">
        <v>29</v>
      </c>
      <c r="R27" t="s">
        <v>29</v>
      </c>
      <c r="S27" t="s">
        <v>30</v>
      </c>
    </row>
    <row r="28" spans="1:20" x14ac:dyDescent="0.45">
      <c r="A28" t="s">
        <v>20</v>
      </c>
      <c r="B28" t="s">
        <v>21</v>
      </c>
      <c r="C28" t="s">
        <v>22</v>
      </c>
      <c r="D28" t="s">
        <v>82</v>
      </c>
      <c r="E28">
        <v>14</v>
      </c>
      <c r="F28" t="s">
        <v>83</v>
      </c>
      <c r="G28" t="s">
        <v>84</v>
      </c>
      <c r="H28" t="s">
        <v>26</v>
      </c>
      <c r="I28" t="s">
        <v>27</v>
      </c>
      <c r="J28" t="s">
        <v>28</v>
      </c>
      <c r="K28">
        <v>1.0229999999999999</v>
      </c>
      <c r="L28">
        <v>0.61499999999999999</v>
      </c>
      <c r="M28" s="2" t="s">
        <v>29</v>
      </c>
      <c r="N28" s="2" t="s">
        <v>29</v>
      </c>
      <c r="O28">
        <v>9.4E-2</v>
      </c>
      <c r="P28">
        <v>0.15</v>
      </c>
      <c r="Q28">
        <v>0.127</v>
      </c>
      <c r="R28" t="s">
        <v>29</v>
      </c>
      <c r="S28" t="s">
        <v>30</v>
      </c>
    </row>
    <row r="29" spans="1:20" x14ac:dyDescent="0.45">
      <c r="A29" t="s">
        <v>20</v>
      </c>
      <c r="B29" t="s">
        <v>21</v>
      </c>
      <c r="C29" t="s">
        <v>22</v>
      </c>
      <c r="D29" t="s">
        <v>85</v>
      </c>
      <c r="E29">
        <v>14</v>
      </c>
      <c r="F29" t="s">
        <v>83</v>
      </c>
      <c r="G29" t="s">
        <v>84</v>
      </c>
      <c r="H29" t="s">
        <v>32</v>
      </c>
      <c r="I29" t="s">
        <v>32</v>
      </c>
      <c r="J29" t="s">
        <v>28</v>
      </c>
      <c r="K29">
        <v>0.84499999999999997</v>
      </c>
      <c r="L29">
        <v>0.80300000000000005</v>
      </c>
      <c r="M29" s="2" t="s">
        <v>29</v>
      </c>
      <c r="N29" s="2" t="s">
        <v>29</v>
      </c>
      <c r="O29">
        <v>0.104</v>
      </c>
      <c r="P29" t="s">
        <v>29</v>
      </c>
      <c r="Q29" t="s">
        <v>29</v>
      </c>
      <c r="R29" t="s">
        <v>29</v>
      </c>
      <c r="S29" t="s">
        <v>30</v>
      </c>
    </row>
    <row r="30" spans="1:20" x14ac:dyDescent="0.45">
      <c r="A30" t="s">
        <v>20</v>
      </c>
      <c r="B30" t="s">
        <v>21</v>
      </c>
      <c r="C30" t="s">
        <v>22</v>
      </c>
      <c r="D30" t="s">
        <v>86</v>
      </c>
      <c r="E30">
        <v>15</v>
      </c>
      <c r="F30" t="s">
        <v>87</v>
      </c>
      <c r="G30" t="s">
        <v>84</v>
      </c>
      <c r="H30" t="s">
        <v>26</v>
      </c>
      <c r="I30" t="s">
        <v>27</v>
      </c>
      <c r="J30" t="s">
        <v>28</v>
      </c>
      <c r="K30">
        <v>0.95599999999999996</v>
      </c>
      <c r="L30">
        <v>0.91900000000000004</v>
      </c>
      <c r="M30" s="2" t="s">
        <v>29</v>
      </c>
      <c r="N30" s="2" t="s">
        <v>29</v>
      </c>
      <c r="O30">
        <v>0.11700000000000001</v>
      </c>
      <c r="P30">
        <v>2.8000000000000001E-2</v>
      </c>
      <c r="Q30">
        <v>0.03</v>
      </c>
      <c r="R30" t="s">
        <v>29</v>
      </c>
      <c r="S30" t="s">
        <v>30</v>
      </c>
      <c r="T30" t="s">
        <v>88</v>
      </c>
    </row>
    <row r="31" spans="1:20" x14ac:dyDescent="0.45">
      <c r="A31" t="s">
        <v>20</v>
      </c>
      <c r="B31" t="s">
        <v>21</v>
      </c>
      <c r="C31" t="s">
        <v>22</v>
      </c>
      <c r="D31" t="s">
        <v>89</v>
      </c>
      <c r="E31">
        <v>15</v>
      </c>
      <c r="F31" t="s">
        <v>87</v>
      </c>
      <c r="G31" t="s">
        <v>84</v>
      </c>
      <c r="H31" t="s">
        <v>32</v>
      </c>
      <c r="I31" t="s">
        <v>32</v>
      </c>
      <c r="J31" t="s">
        <v>28</v>
      </c>
      <c r="K31">
        <v>1.046</v>
      </c>
      <c r="L31">
        <v>0.85199999999999998</v>
      </c>
      <c r="M31" s="2" t="s">
        <v>29</v>
      </c>
      <c r="N31" s="2" t="s">
        <v>29</v>
      </c>
      <c r="O31">
        <v>0.11799999999999999</v>
      </c>
      <c r="P31" t="s">
        <v>29</v>
      </c>
      <c r="Q31" t="s">
        <v>29</v>
      </c>
      <c r="R31" t="s">
        <v>29</v>
      </c>
      <c r="S31" t="s">
        <v>30</v>
      </c>
    </row>
    <row r="32" spans="1:20" x14ac:dyDescent="0.45">
      <c r="A32" t="s">
        <v>20</v>
      </c>
      <c r="B32" t="s">
        <v>21</v>
      </c>
      <c r="C32" t="s">
        <v>22</v>
      </c>
      <c r="D32" t="s">
        <v>31</v>
      </c>
      <c r="E32">
        <v>1</v>
      </c>
      <c r="F32" t="s">
        <v>90</v>
      </c>
      <c r="G32" t="s">
        <v>91</v>
      </c>
      <c r="H32" t="s">
        <v>32</v>
      </c>
      <c r="I32" t="s">
        <v>27</v>
      </c>
      <c r="J32" t="s">
        <v>28</v>
      </c>
      <c r="K32">
        <v>0.84299999999999997</v>
      </c>
      <c r="L32">
        <v>0.83499999999999996</v>
      </c>
      <c r="M32" s="2" t="s">
        <v>29</v>
      </c>
      <c r="N32" s="2" t="s">
        <v>29</v>
      </c>
      <c r="O32">
        <v>0.11</v>
      </c>
      <c r="P32">
        <v>0.121</v>
      </c>
      <c r="Q32">
        <v>8.5000000000000006E-2</v>
      </c>
      <c r="R32" t="s">
        <v>29</v>
      </c>
      <c r="S32" t="s">
        <v>30</v>
      </c>
    </row>
    <row r="33" spans="1:21" x14ac:dyDescent="0.45">
      <c r="A33" t="s">
        <v>20</v>
      </c>
      <c r="B33" t="s">
        <v>21</v>
      </c>
      <c r="C33" t="s">
        <v>22</v>
      </c>
      <c r="D33" t="s">
        <v>36</v>
      </c>
      <c r="E33">
        <v>2</v>
      </c>
      <c r="F33" t="s">
        <v>92</v>
      </c>
      <c r="G33" t="s">
        <v>93</v>
      </c>
      <c r="H33" t="s">
        <v>32</v>
      </c>
      <c r="I33" t="s">
        <v>27</v>
      </c>
      <c r="J33" t="s">
        <v>28</v>
      </c>
      <c r="K33">
        <v>0.96099999999999997</v>
      </c>
      <c r="L33">
        <v>0.92800000000000005</v>
      </c>
      <c r="M33" s="2" t="s">
        <v>29</v>
      </c>
      <c r="N33" s="2" t="s">
        <v>29</v>
      </c>
      <c r="O33">
        <v>0.11600000000000001</v>
      </c>
      <c r="P33">
        <v>0.11799999999999999</v>
      </c>
      <c r="Q33">
        <v>9.5000000000000001E-2</v>
      </c>
      <c r="R33" t="s">
        <v>29</v>
      </c>
      <c r="S33" t="s">
        <v>30</v>
      </c>
    </row>
    <row r="34" spans="1:21" x14ac:dyDescent="0.45">
      <c r="A34" t="s">
        <v>20</v>
      </c>
      <c r="B34" t="s">
        <v>21</v>
      </c>
      <c r="C34" t="s">
        <v>22</v>
      </c>
      <c r="D34" t="s">
        <v>41</v>
      </c>
      <c r="E34">
        <v>3</v>
      </c>
      <c r="F34" t="s">
        <v>94</v>
      </c>
      <c r="G34" t="s">
        <v>95</v>
      </c>
      <c r="H34" t="s">
        <v>32</v>
      </c>
      <c r="I34" t="s">
        <v>27</v>
      </c>
      <c r="J34" t="s">
        <v>28</v>
      </c>
      <c r="K34">
        <v>0.97899999999999998</v>
      </c>
      <c r="L34">
        <v>0.96399999999999997</v>
      </c>
      <c r="M34" s="2" t="s">
        <v>29</v>
      </c>
      <c r="N34" s="2" t="s">
        <v>29</v>
      </c>
      <c r="O34">
        <v>0.13200000000000001</v>
      </c>
      <c r="P34">
        <v>6.2E-2</v>
      </c>
      <c r="Q34">
        <v>4.2000000000000003E-2</v>
      </c>
      <c r="R34" t="s">
        <v>29</v>
      </c>
      <c r="S34" t="s">
        <v>30</v>
      </c>
    </row>
    <row r="35" spans="1:21" x14ac:dyDescent="0.45">
      <c r="A35" t="s">
        <v>20</v>
      </c>
      <c r="B35" t="s">
        <v>21</v>
      </c>
      <c r="C35" t="s">
        <v>22</v>
      </c>
      <c r="D35" t="s">
        <v>45</v>
      </c>
      <c r="E35">
        <v>4</v>
      </c>
      <c r="F35" t="s">
        <v>96</v>
      </c>
      <c r="G35" t="s">
        <v>97</v>
      </c>
      <c r="H35" t="s">
        <v>32</v>
      </c>
      <c r="I35" t="s">
        <v>27</v>
      </c>
      <c r="J35" t="s">
        <v>28</v>
      </c>
      <c r="K35">
        <v>0.621</v>
      </c>
      <c r="L35">
        <v>0.58299999999999996</v>
      </c>
      <c r="M35" s="2" t="s">
        <v>29</v>
      </c>
      <c r="N35" s="2" t="s">
        <v>29</v>
      </c>
      <c r="O35">
        <v>8.8999999999999996E-2</v>
      </c>
      <c r="P35">
        <v>5.8999999999999997E-2</v>
      </c>
      <c r="Q35">
        <v>5.3999999999999999E-2</v>
      </c>
      <c r="R35" t="s">
        <v>29</v>
      </c>
      <c r="S35" t="s">
        <v>30</v>
      </c>
    </row>
    <row r="36" spans="1:21" x14ac:dyDescent="0.45">
      <c r="A36" t="s">
        <v>20</v>
      </c>
      <c r="B36" t="s">
        <v>21</v>
      </c>
      <c r="C36" t="s">
        <v>22</v>
      </c>
      <c r="D36" t="s">
        <v>50</v>
      </c>
      <c r="E36">
        <v>5</v>
      </c>
      <c r="F36" t="s">
        <v>98</v>
      </c>
      <c r="G36" t="s">
        <v>99</v>
      </c>
      <c r="H36" t="s">
        <v>32</v>
      </c>
      <c r="I36" t="s">
        <v>27</v>
      </c>
      <c r="J36" t="s">
        <v>28</v>
      </c>
      <c r="K36">
        <v>0.82599999999999996</v>
      </c>
      <c r="L36">
        <v>0.80900000000000005</v>
      </c>
      <c r="M36" s="2" t="s">
        <v>29</v>
      </c>
      <c r="N36" s="2" t="s">
        <v>29</v>
      </c>
      <c r="O36">
        <v>9.8000000000000004E-2</v>
      </c>
      <c r="P36">
        <v>5.1999999999999998E-2</v>
      </c>
      <c r="Q36">
        <v>4.7E-2</v>
      </c>
      <c r="R36" t="s">
        <v>29</v>
      </c>
      <c r="S36" t="s">
        <v>30</v>
      </c>
    </row>
    <row r="37" spans="1:21" x14ac:dyDescent="0.45">
      <c r="A37" t="s">
        <v>20</v>
      </c>
      <c r="B37" t="s">
        <v>21</v>
      </c>
      <c r="C37" t="s">
        <v>22</v>
      </c>
      <c r="D37" t="s">
        <v>54</v>
      </c>
      <c r="E37">
        <v>6</v>
      </c>
      <c r="F37" t="s">
        <v>100</v>
      </c>
      <c r="G37" t="s">
        <v>101</v>
      </c>
      <c r="H37" t="s">
        <v>32</v>
      </c>
      <c r="I37" t="s">
        <v>27</v>
      </c>
      <c r="J37" t="s">
        <v>28</v>
      </c>
      <c r="K37">
        <v>0.91500000000000004</v>
      </c>
      <c r="L37">
        <v>0.83899999999999997</v>
      </c>
      <c r="M37" s="2" t="s">
        <v>29</v>
      </c>
      <c r="N37" s="2" t="s">
        <v>29</v>
      </c>
      <c r="O37">
        <v>0.121</v>
      </c>
      <c r="P37">
        <v>0.04</v>
      </c>
      <c r="Q37">
        <v>2.4E-2</v>
      </c>
      <c r="R37" t="s">
        <v>29</v>
      </c>
      <c r="S37" t="s">
        <v>30</v>
      </c>
    </row>
    <row r="38" spans="1:21" x14ac:dyDescent="0.45">
      <c r="A38" t="s">
        <v>20</v>
      </c>
      <c r="B38" t="s">
        <v>21</v>
      </c>
      <c r="C38" t="s">
        <v>22</v>
      </c>
      <c r="D38" t="s">
        <v>58</v>
      </c>
      <c r="E38">
        <v>7</v>
      </c>
      <c r="F38" t="s">
        <v>102</v>
      </c>
      <c r="G38" t="s">
        <v>103</v>
      </c>
      <c r="H38" t="s">
        <v>32</v>
      </c>
      <c r="I38" t="s">
        <v>27</v>
      </c>
      <c r="J38" t="s">
        <v>28</v>
      </c>
      <c r="K38">
        <v>0.93100000000000005</v>
      </c>
      <c r="L38">
        <v>0.88700000000000001</v>
      </c>
      <c r="M38" s="2" t="s">
        <v>29</v>
      </c>
      <c r="N38" s="2" t="s">
        <v>29</v>
      </c>
      <c r="O38">
        <v>0.106</v>
      </c>
      <c r="P38">
        <v>6.8000000000000005E-2</v>
      </c>
      <c r="Q38">
        <v>3.4000000000000002E-2</v>
      </c>
      <c r="R38" t="s">
        <v>29</v>
      </c>
      <c r="S38" t="s">
        <v>30</v>
      </c>
    </row>
    <row r="39" spans="1:21" x14ac:dyDescent="0.45">
      <c r="A39" t="s">
        <v>20</v>
      </c>
      <c r="B39" t="s">
        <v>21</v>
      </c>
      <c r="C39" t="s">
        <v>22</v>
      </c>
      <c r="D39" t="s">
        <v>62</v>
      </c>
      <c r="E39">
        <v>8</v>
      </c>
      <c r="F39" t="s">
        <v>104</v>
      </c>
      <c r="G39" t="s">
        <v>105</v>
      </c>
      <c r="H39" t="s">
        <v>32</v>
      </c>
      <c r="I39" t="s">
        <v>27</v>
      </c>
      <c r="J39" t="s">
        <v>28</v>
      </c>
      <c r="K39">
        <v>0.85799999999999998</v>
      </c>
      <c r="L39">
        <v>0.84199999999999997</v>
      </c>
      <c r="M39" s="2" t="s">
        <v>29</v>
      </c>
      <c r="N39" s="2" t="s">
        <v>29</v>
      </c>
      <c r="O39">
        <v>0.11899999999999999</v>
      </c>
      <c r="P39">
        <v>0.11600000000000001</v>
      </c>
      <c r="Q39">
        <v>8.7999999999999995E-2</v>
      </c>
      <c r="R39" t="s">
        <v>29</v>
      </c>
      <c r="S39" t="s">
        <v>30</v>
      </c>
    </row>
    <row r="40" spans="1:21" x14ac:dyDescent="0.45">
      <c r="A40" t="s">
        <v>20</v>
      </c>
      <c r="B40" t="s">
        <v>21</v>
      </c>
      <c r="C40" t="s">
        <v>22</v>
      </c>
      <c r="D40" t="s">
        <v>66</v>
      </c>
      <c r="E40">
        <v>9</v>
      </c>
      <c r="F40" t="s">
        <v>106</v>
      </c>
      <c r="G40" t="s">
        <v>107</v>
      </c>
      <c r="H40" t="s">
        <v>32</v>
      </c>
      <c r="I40" t="s">
        <v>27</v>
      </c>
      <c r="J40" t="s">
        <v>28</v>
      </c>
      <c r="K40">
        <v>0.91100000000000003</v>
      </c>
      <c r="L40">
        <v>0.86099999999999999</v>
      </c>
      <c r="M40" s="2" t="s">
        <v>29</v>
      </c>
      <c r="N40" s="2" t="s">
        <v>29</v>
      </c>
      <c r="O40">
        <v>0.111</v>
      </c>
      <c r="P40">
        <v>7.4999999999999997E-2</v>
      </c>
      <c r="Q40">
        <v>6.0999999999999999E-2</v>
      </c>
      <c r="R40" t="s">
        <v>29</v>
      </c>
      <c r="S40" t="s">
        <v>30</v>
      </c>
    </row>
    <row r="41" spans="1:21" x14ac:dyDescent="0.45">
      <c r="A41" t="s">
        <v>20</v>
      </c>
      <c r="B41" t="s">
        <v>21</v>
      </c>
      <c r="C41" t="s">
        <v>22</v>
      </c>
      <c r="D41" t="s">
        <v>70</v>
      </c>
      <c r="E41">
        <v>10</v>
      </c>
      <c r="F41" t="s">
        <v>108</v>
      </c>
      <c r="G41" t="s">
        <v>109</v>
      </c>
      <c r="H41" t="s">
        <v>32</v>
      </c>
      <c r="I41" t="s">
        <v>27</v>
      </c>
      <c r="J41" t="s">
        <v>28</v>
      </c>
      <c r="K41">
        <v>0.879</v>
      </c>
      <c r="L41">
        <v>0.84299999999999997</v>
      </c>
      <c r="M41" s="2" t="s">
        <v>29</v>
      </c>
      <c r="N41" s="2" t="s">
        <v>29</v>
      </c>
      <c r="O41">
        <v>0.115</v>
      </c>
      <c r="P41">
        <v>0.13700000000000001</v>
      </c>
      <c r="Q41">
        <v>8.2000000000000003E-2</v>
      </c>
      <c r="R41" t="s">
        <v>29</v>
      </c>
      <c r="S41" t="s">
        <v>30</v>
      </c>
    </row>
    <row r="42" spans="1:21" x14ac:dyDescent="0.45">
      <c r="A42" t="s">
        <v>20</v>
      </c>
      <c r="B42" t="s">
        <v>21</v>
      </c>
      <c r="C42" t="s">
        <v>22</v>
      </c>
      <c r="D42" t="s">
        <v>73</v>
      </c>
      <c r="E42">
        <v>11</v>
      </c>
      <c r="F42" t="s">
        <v>110</v>
      </c>
      <c r="G42" t="s">
        <v>111</v>
      </c>
      <c r="H42" t="s">
        <v>32</v>
      </c>
      <c r="I42" t="s">
        <v>27</v>
      </c>
      <c r="J42" t="s">
        <v>28</v>
      </c>
      <c r="K42">
        <v>0.95599999999999996</v>
      </c>
      <c r="L42">
        <v>0.88600000000000001</v>
      </c>
      <c r="M42" s="2" t="s">
        <v>29</v>
      </c>
      <c r="N42" s="2" t="s">
        <v>29</v>
      </c>
      <c r="O42">
        <v>0.122</v>
      </c>
      <c r="P42">
        <v>8.7999999999999995E-2</v>
      </c>
      <c r="Q42">
        <v>6.4000000000000001E-2</v>
      </c>
      <c r="R42" t="s">
        <v>29</v>
      </c>
      <c r="S42" t="s">
        <v>30</v>
      </c>
      <c r="T42" t="s">
        <v>112</v>
      </c>
    </row>
    <row r="43" spans="1:21" x14ac:dyDescent="0.45">
      <c r="A43" t="s">
        <v>20</v>
      </c>
      <c r="B43" t="s">
        <v>21</v>
      </c>
      <c r="C43" t="s">
        <v>22</v>
      </c>
      <c r="D43" t="s">
        <v>77</v>
      </c>
      <c r="E43">
        <v>12</v>
      </c>
      <c r="F43" t="s">
        <v>113</v>
      </c>
      <c r="G43" t="s">
        <v>111</v>
      </c>
      <c r="H43" t="s">
        <v>32</v>
      </c>
      <c r="I43" t="s">
        <v>27</v>
      </c>
      <c r="J43" t="s">
        <v>28</v>
      </c>
      <c r="K43">
        <v>1.06</v>
      </c>
      <c r="L43">
        <v>0.97699999999999998</v>
      </c>
      <c r="M43" s="2" t="s">
        <v>29</v>
      </c>
      <c r="N43" s="2" t="s">
        <v>29</v>
      </c>
      <c r="O43">
        <v>0.129</v>
      </c>
      <c r="P43">
        <v>0.13500000000000001</v>
      </c>
      <c r="Q43">
        <v>9.2999999999999999E-2</v>
      </c>
      <c r="R43" t="s">
        <v>29</v>
      </c>
      <c r="S43" t="s">
        <v>30</v>
      </c>
    </row>
    <row r="44" spans="1:21" x14ac:dyDescent="0.45">
      <c r="A44" t="s">
        <v>20</v>
      </c>
      <c r="B44" t="s">
        <v>21</v>
      </c>
      <c r="C44" t="s">
        <v>22</v>
      </c>
      <c r="D44" t="s">
        <v>81</v>
      </c>
      <c r="E44">
        <v>13</v>
      </c>
      <c r="F44" t="s">
        <v>114</v>
      </c>
      <c r="G44" t="s">
        <v>115</v>
      </c>
      <c r="H44" t="s">
        <v>32</v>
      </c>
      <c r="I44" t="s">
        <v>27</v>
      </c>
      <c r="J44" t="s">
        <v>28</v>
      </c>
      <c r="K44">
        <v>0.94099999999999995</v>
      </c>
      <c r="L44">
        <v>0.88</v>
      </c>
      <c r="M44" s="2" t="s">
        <v>29</v>
      </c>
      <c r="N44" s="2" t="s">
        <v>29</v>
      </c>
      <c r="O44">
        <v>0.10199999999999999</v>
      </c>
      <c r="P44">
        <v>6.0999999999999999E-2</v>
      </c>
      <c r="Q44">
        <v>4.2999999999999997E-2</v>
      </c>
      <c r="R44" t="s">
        <v>29</v>
      </c>
      <c r="S44" t="s">
        <v>30</v>
      </c>
    </row>
    <row r="45" spans="1:21" x14ac:dyDescent="0.45">
      <c r="A45" t="s">
        <v>20</v>
      </c>
      <c r="B45" t="s">
        <v>21</v>
      </c>
      <c r="C45" t="s">
        <v>22</v>
      </c>
      <c r="D45" t="s">
        <v>85</v>
      </c>
      <c r="E45">
        <v>14</v>
      </c>
      <c r="F45" t="s">
        <v>116</v>
      </c>
      <c r="G45" t="s">
        <v>117</v>
      </c>
      <c r="H45" t="s">
        <v>32</v>
      </c>
      <c r="I45" t="s">
        <v>27</v>
      </c>
      <c r="J45" t="s">
        <v>28</v>
      </c>
      <c r="K45">
        <v>0.89200000000000002</v>
      </c>
      <c r="L45">
        <v>0.84499999999999997</v>
      </c>
      <c r="M45" s="2" t="s">
        <v>29</v>
      </c>
      <c r="N45" s="2" t="s">
        <v>29</v>
      </c>
      <c r="O45">
        <v>0.10199999999999999</v>
      </c>
      <c r="P45">
        <v>0.13600000000000001</v>
      </c>
      <c r="Q45">
        <v>0.08</v>
      </c>
      <c r="R45" t="s">
        <v>29</v>
      </c>
      <c r="S45" t="s">
        <v>30</v>
      </c>
    </row>
    <row r="46" spans="1:21" x14ac:dyDescent="0.45">
      <c r="A46" t="s">
        <v>20</v>
      </c>
      <c r="B46" t="s">
        <v>21</v>
      </c>
      <c r="C46" t="s">
        <v>22</v>
      </c>
      <c r="D46" t="s">
        <v>89</v>
      </c>
      <c r="E46">
        <v>15</v>
      </c>
      <c r="F46" t="s">
        <v>118</v>
      </c>
      <c r="G46" t="s">
        <v>117</v>
      </c>
      <c r="H46" t="s">
        <v>32</v>
      </c>
      <c r="I46" t="s">
        <v>27</v>
      </c>
      <c r="J46" t="s">
        <v>28</v>
      </c>
      <c r="K46">
        <v>0.95699999999999996</v>
      </c>
      <c r="L46">
        <v>0.92200000000000004</v>
      </c>
      <c r="M46" s="2" t="s">
        <v>29</v>
      </c>
      <c r="N46" s="2" t="s">
        <v>29</v>
      </c>
      <c r="O46">
        <v>0.11899999999999999</v>
      </c>
      <c r="P46">
        <v>8.2000000000000003E-2</v>
      </c>
      <c r="Q46">
        <v>6.8000000000000005E-2</v>
      </c>
      <c r="R46" t="s">
        <v>29</v>
      </c>
      <c r="S46" t="s">
        <v>30</v>
      </c>
    </row>
    <row r="47" spans="1:21" x14ac:dyDescent="0.45">
      <c r="A47" t="s">
        <v>20</v>
      </c>
      <c r="B47" t="s">
        <v>21</v>
      </c>
      <c r="C47" t="s">
        <v>22</v>
      </c>
      <c r="D47" t="s">
        <v>23</v>
      </c>
      <c r="E47">
        <v>1</v>
      </c>
      <c r="F47" t="s">
        <v>119</v>
      </c>
      <c r="G47" t="s">
        <v>120</v>
      </c>
      <c r="H47" t="s">
        <v>26</v>
      </c>
      <c r="I47" t="s">
        <v>27</v>
      </c>
      <c r="J47" t="s">
        <v>121</v>
      </c>
      <c r="K47">
        <v>2.339</v>
      </c>
      <c r="L47" t="s">
        <v>29</v>
      </c>
      <c r="M47" s="2">
        <v>6.492</v>
      </c>
      <c r="N47" s="2">
        <v>6.6180000000000003</v>
      </c>
      <c r="O47">
        <v>0.126</v>
      </c>
      <c r="P47">
        <v>0.13200000000000001</v>
      </c>
      <c r="Q47">
        <v>0.188</v>
      </c>
      <c r="R47" t="s">
        <v>29</v>
      </c>
      <c r="S47" t="s">
        <v>30</v>
      </c>
      <c r="T47" s="2">
        <f t="shared" ref="T47:T76" si="0">N47-M47</f>
        <v>0.12600000000000033</v>
      </c>
      <c r="U47" s="2"/>
    </row>
    <row r="48" spans="1:21" x14ac:dyDescent="0.45">
      <c r="A48" t="s">
        <v>20</v>
      </c>
      <c r="B48" t="s">
        <v>21</v>
      </c>
      <c r="C48" t="s">
        <v>22</v>
      </c>
      <c r="D48" t="s">
        <v>23</v>
      </c>
      <c r="E48">
        <v>1</v>
      </c>
      <c r="F48" t="s">
        <v>119</v>
      </c>
      <c r="G48" t="s">
        <v>120</v>
      </c>
      <c r="H48" t="s">
        <v>26</v>
      </c>
      <c r="I48" t="s">
        <v>32</v>
      </c>
      <c r="J48" t="s">
        <v>121</v>
      </c>
      <c r="K48">
        <v>2.1259999999999999</v>
      </c>
      <c r="L48" t="s">
        <v>29</v>
      </c>
      <c r="M48" s="2">
        <v>6.4829999999999997</v>
      </c>
      <c r="N48" s="2">
        <v>6.6189999999999998</v>
      </c>
      <c r="O48">
        <v>0.13600000000000001</v>
      </c>
      <c r="P48" t="s">
        <v>29</v>
      </c>
      <c r="Q48" t="s">
        <v>29</v>
      </c>
      <c r="R48" t="s">
        <v>29</v>
      </c>
      <c r="S48" t="s">
        <v>30</v>
      </c>
      <c r="T48" s="2">
        <f t="shared" si="0"/>
        <v>0.13600000000000012</v>
      </c>
      <c r="U48" s="2"/>
    </row>
    <row r="49" spans="1:21" x14ac:dyDescent="0.45">
      <c r="A49" t="s">
        <v>20</v>
      </c>
      <c r="B49" t="s">
        <v>21</v>
      </c>
      <c r="C49" t="s">
        <v>22</v>
      </c>
      <c r="D49" t="s">
        <v>33</v>
      </c>
      <c r="E49">
        <v>2</v>
      </c>
      <c r="F49" t="s">
        <v>122</v>
      </c>
      <c r="G49" t="s">
        <v>123</v>
      </c>
      <c r="H49" t="s">
        <v>26</v>
      </c>
      <c r="I49" t="s">
        <v>27</v>
      </c>
      <c r="J49" t="s">
        <v>121</v>
      </c>
      <c r="K49">
        <v>2.069</v>
      </c>
      <c r="L49" t="s">
        <v>29</v>
      </c>
      <c r="M49" s="2">
        <v>6.51</v>
      </c>
      <c r="N49" s="2">
        <v>6.6539999999999999</v>
      </c>
      <c r="O49">
        <v>0.14399999999999999</v>
      </c>
      <c r="P49">
        <v>8.8999999999999996E-2</v>
      </c>
      <c r="Q49">
        <v>7.3999999999999996E-2</v>
      </c>
      <c r="R49" t="s">
        <v>29</v>
      </c>
      <c r="S49" t="s">
        <v>30</v>
      </c>
      <c r="T49" s="2">
        <f t="shared" si="0"/>
        <v>0.14400000000000013</v>
      </c>
      <c r="U49" s="2"/>
    </row>
    <row r="50" spans="1:21" x14ac:dyDescent="0.45">
      <c r="A50" t="s">
        <v>20</v>
      </c>
      <c r="B50" t="s">
        <v>21</v>
      </c>
      <c r="C50" t="s">
        <v>22</v>
      </c>
      <c r="D50" t="s">
        <v>33</v>
      </c>
      <c r="E50">
        <v>2</v>
      </c>
      <c r="F50" t="s">
        <v>122</v>
      </c>
      <c r="G50" t="s">
        <v>123</v>
      </c>
      <c r="H50" t="s">
        <v>26</v>
      </c>
      <c r="I50" t="s">
        <v>32</v>
      </c>
      <c r="J50" t="s">
        <v>121</v>
      </c>
      <c r="K50">
        <v>1.4870000000000001</v>
      </c>
      <c r="L50" t="s">
        <v>29</v>
      </c>
      <c r="M50" s="2">
        <v>6.5309999999999997</v>
      </c>
      <c r="N50" s="2">
        <v>6.6280000000000001</v>
      </c>
      <c r="O50">
        <v>9.7000000000000003E-2</v>
      </c>
      <c r="P50" t="s">
        <v>29</v>
      </c>
      <c r="Q50" t="s">
        <v>29</v>
      </c>
      <c r="R50" t="s">
        <v>29</v>
      </c>
      <c r="S50" t="s">
        <v>30</v>
      </c>
      <c r="T50" s="2">
        <f t="shared" si="0"/>
        <v>9.7000000000000419E-2</v>
      </c>
      <c r="U50" s="2"/>
    </row>
    <row r="51" spans="1:21" x14ac:dyDescent="0.45">
      <c r="A51" t="s">
        <v>20</v>
      </c>
      <c r="B51" t="s">
        <v>21</v>
      </c>
      <c r="C51" t="s">
        <v>22</v>
      </c>
      <c r="D51" t="s">
        <v>38</v>
      </c>
      <c r="E51">
        <v>3</v>
      </c>
      <c r="F51" t="s">
        <v>124</v>
      </c>
      <c r="G51" t="s">
        <v>125</v>
      </c>
      <c r="H51" t="s">
        <v>26</v>
      </c>
      <c r="I51" t="s">
        <v>27</v>
      </c>
      <c r="J51" t="s">
        <v>121</v>
      </c>
      <c r="K51">
        <v>2.79</v>
      </c>
      <c r="L51" t="s">
        <v>29</v>
      </c>
      <c r="M51" s="2">
        <v>6.5339999999999998</v>
      </c>
      <c r="N51" s="2">
        <v>6.6989999999999998</v>
      </c>
      <c r="O51">
        <v>0.16500000000000001</v>
      </c>
      <c r="P51">
        <v>9.7000000000000003E-2</v>
      </c>
      <c r="Q51">
        <v>9.2999999999999999E-2</v>
      </c>
      <c r="R51" t="s">
        <v>29</v>
      </c>
      <c r="S51" t="s">
        <v>30</v>
      </c>
      <c r="T51" s="2">
        <f t="shared" si="0"/>
        <v>0.16500000000000004</v>
      </c>
      <c r="U51" s="2"/>
    </row>
    <row r="52" spans="1:21" x14ac:dyDescent="0.45">
      <c r="A52" t="s">
        <v>20</v>
      </c>
      <c r="B52" t="s">
        <v>21</v>
      </c>
      <c r="C52" t="s">
        <v>22</v>
      </c>
      <c r="D52" t="s">
        <v>38</v>
      </c>
      <c r="E52">
        <v>3</v>
      </c>
      <c r="F52" t="s">
        <v>124</v>
      </c>
      <c r="G52" t="s">
        <v>125</v>
      </c>
      <c r="H52" t="s">
        <v>26</v>
      </c>
      <c r="I52" t="s">
        <v>32</v>
      </c>
      <c r="J52" t="s">
        <v>121</v>
      </c>
      <c r="K52">
        <v>2.4180000000000001</v>
      </c>
      <c r="L52" t="s">
        <v>29</v>
      </c>
      <c r="M52" s="2">
        <v>6.5060000000000002</v>
      </c>
      <c r="N52" s="2">
        <v>6.6479999999999997</v>
      </c>
      <c r="O52">
        <v>0.14199999999999999</v>
      </c>
      <c r="P52" t="s">
        <v>29</v>
      </c>
      <c r="Q52" t="s">
        <v>29</v>
      </c>
      <c r="R52" t="s">
        <v>29</v>
      </c>
      <c r="S52" t="s">
        <v>30</v>
      </c>
      <c r="T52" s="2">
        <f t="shared" si="0"/>
        <v>0.14199999999999946</v>
      </c>
      <c r="U52" s="2"/>
    </row>
    <row r="53" spans="1:21" x14ac:dyDescent="0.45">
      <c r="A53" t="s">
        <v>20</v>
      </c>
      <c r="B53" t="s">
        <v>21</v>
      </c>
      <c r="C53" t="s">
        <v>22</v>
      </c>
      <c r="D53" t="s">
        <v>42</v>
      </c>
      <c r="E53">
        <v>4</v>
      </c>
      <c r="F53" t="s">
        <v>126</v>
      </c>
      <c r="G53" t="s">
        <v>127</v>
      </c>
      <c r="H53" t="s">
        <v>26</v>
      </c>
      <c r="I53" t="s">
        <v>27</v>
      </c>
      <c r="J53" t="s">
        <v>121</v>
      </c>
      <c r="K53">
        <v>2.5030000000000001</v>
      </c>
      <c r="L53" t="s">
        <v>29</v>
      </c>
      <c r="M53" s="2">
        <v>6.444</v>
      </c>
      <c r="N53" s="2">
        <v>6.6120000000000001</v>
      </c>
      <c r="O53">
        <v>0.16800000000000001</v>
      </c>
      <c r="P53">
        <v>0.11899999999999999</v>
      </c>
      <c r="Q53">
        <v>0.111</v>
      </c>
      <c r="R53" t="s">
        <v>29</v>
      </c>
      <c r="S53" t="s">
        <v>30</v>
      </c>
      <c r="T53" s="2">
        <f t="shared" si="0"/>
        <v>0.16800000000000015</v>
      </c>
      <c r="U53" s="2"/>
    </row>
    <row r="54" spans="1:21" x14ac:dyDescent="0.45">
      <c r="A54" t="s">
        <v>20</v>
      </c>
      <c r="B54" t="s">
        <v>21</v>
      </c>
      <c r="C54" t="s">
        <v>22</v>
      </c>
      <c r="D54" t="s">
        <v>42</v>
      </c>
      <c r="E54">
        <v>4</v>
      </c>
      <c r="F54" t="s">
        <v>126</v>
      </c>
      <c r="G54" t="s">
        <v>127</v>
      </c>
      <c r="H54" t="s">
        <v>26</v>
      </c>
      <c r="I54" t="s">
        <v>32</v>
      </c>
      <c r="J54" t="s">
        <v>121</v>
      </c>
      <c r="K54">
        <v>2.2440000000000002</v>
      </c>
      <c r="L54" t="s">
        <v>29</v>
      </c>
      <c r="M54" s="2">
        <v>6.5279999999999996</v>
      </c>
      <c r="N54" s="2">
        <v>6.6920000000000002</v>
      </c>
      <c r="O54">
        <v>0.16400000000000001</v>
      </c>
      <c r="P54" t="s">
        <v>29</v>
      </c>
      <c r="Q54" t="s">
        <v>29</v>
      </c>
      <c r="R54" t="s">
        <v>29</v>
      </c>
      <c r="S54" t="s">
        <v>30</v>
      </c>
      <c r="T54" s="2">
        <f t="shared" si="0"/>
        <v>0.16400000000000059</v>
      </c>
      <c r="U54" s="2"/>
    </row>
    <row r="55" spans="1:21" x14ac:dyDescent="0.45">
      <c r="A55" t="s">
        <v>20</v>
      </c>
      <c r="B55" t="s">
        <v>21</v>
      </c>
      <c r="C55" t="s">
        <v>22</v>
      </c>
      <c r="D55" t="s">
        <v>47</v>
      </c>
      <c r="E55">
        <v>5</v>
      </c>
      <c r="F55" t="s">
        <v>128</v>
      </c>
      <c r="G55" t="s">
        <v>129</v>
      </c>
      <c r="H55" t="s">
        <v>26</v>
      </c>
      <c r="I55" t="s">
        <v>27</v>
      </c>
      <c r="J55" t="s">
        <v>121</v>
      </c>
      <c r="K55">
        <v>3.887</v>
      </c>
      <c r="L55" t="s">
        <v>29</v>
      </c>
      <c r="M55" s="2">
        <v>6.4409999999999998</v>
      </c>
      <c r="N55" s="2">
        <v>6.6950000000000003</v>
      </c>
      <c r="O55">
        <v>0.254</v>
      </c>
      <c r="P55">
        <v>0.115</v>
      </c>
      <c r="Q55">
        <v>9.5000000000000001E-2</v>
      </c>
      <c r="R55" t="s">
        <v>29</v>
      </c>
      <c r="S55" t="s">
        <v>30</v>
      </c>
      <c r="T55" s="2">
        <f t="shared" si="0"/>
        <v>0.25400000000000045</v>
      </c>
      <c r="U55" s="2"/>
    </row>
    <row r="56" spans="1:21" x14ac:dyDescent="0.45">
      <c r="A56" t="s">
        <v>20</v>
      </c>
      <c r="B56" t="s">
        <v>21</v>
      </c>
      <c r="C56" t="s">
        <v>22</v>
      </c>
      <c r="D56" t="s">
        <v>47</v>
      </c>
      <c r="E56">
        <v>5</v>
      </c>
      <c r="F56" t="s">
        <v>128</v>
      </c>
      <c r="G56" t="s">
        <v>129</v>
      </c>
      <c r="H56" t="s">
        <v>26</v>
      </c>
      <c r="I56" t="s">
        <v>32</v>
      </c>
      <c r="J56" t="s">
        <v>121</v>
      </c>
      <c r="K56">
        <v>2.798</v>
      </c>
      <c r="L56" t="s">
        <v>29</v>
      </c>
      <c r="M56" s="2">
        <v>6.5190000000000001</v>
      </c>
      <c r="N56" s="2">
        <v>6.7290000000000001</v>
      </c>
      <c r="O56">
        <v>0.21</v>
      </c>
      <c r="P56" t="s">
        <v>29</v>
      </c>
      <c r="Q56" t="s">
        <v>29</v>
      </c>
      <c r="R56" t="s">
        <v>29</v>
      </c>
      <c r="S56" t="s">
        <v>30</v>
      </c>
      <c r="T56" s="2">
        <f t="shared" si="0"/>
        <v>0.20999999999999996</v>
      </c>
      <c r="U56" s="2"/>
    </row>
    <row r="57" spans="1:21" x14ac:dyDescent="0.45">
      <c r="A57" t="s">
        <v>20</v>
      </c>
      <c r="B57" t="s">
        <v>21</v>
      </c>
      <c r="C57" t="s">
        <v>22</v>
      </c>
      <c r="D57" t="s">
        <v>51</v>
      </c>
      <c r="E57">
        <v>6</v>
      </c>
      <c r="F57" t="s">
        <v>130</v>
      </c>
      <c r="G57" t="s">
        <v>131</v>
      </c>
      <c r="H57" t="s">
        <v>26</v>
      </c>
      <c r="I57" t="s">
        <v>27</v>
      </c>
      <c r="J57" t="s">
        <v>121</v>
      </c>
      <c r="K57">
        <v>2.9649999999999999</v>
      </c>
      <c r="L57" t="s">
        <v>29</v>
      </c>
      <c r="M57" s="2">
        <v>6.4020000000000001</v>
      </c>
      <c r="N57" s="2">
        <v>6.5819999999999999</v>
      </c>
      <c r="O57">
        <v>0.18</v>
      </c>
      <c r="P57">
        <v>0.107</v>
      </c>
      <c r="Q57">
        <v>0.155</v>
      </c>
      <c r="R57" t="s">
        <v>29</v>
      </c>
      <c r="S57" t="s">
        <v>30</v>
      </c>
      <c r="T57" s="2">
        <f t="shared" si="0"/>
        <v>0.17999999999999972</v>
      </c>
      <c r="U57" s="2"/>
    </row>
    <row r="58" spans="1:21" x14ac:dyDescent="0.45">
      <c r="A58" t="s">
        <v>20</v>
      </c>
      <c r="B58" t="s">
        <v>21</v>
      </c>
      <c r="C58" t="s">
        <v>22</v>
      </c>
      <c r="D58" t="s">
        <v>51</v>
      </c>
      <c r="E58">
        <v>6</v>
      </c>
      <c r="F58" t="s">
        <v>130</v>
      </c>
      <c r="G58" t="s">
        <v>131</v>
      </c>
      <c r="H58" t="s">
        <v>26</v>
      </c>
      <c r="I58" t="s">
        <v>32</v>
      </c>
      <c r="J58" t="s">
        <v>121</v>
      </c>
      <c r="K58">
        <v>2.1230000000000002</v>
      </c>
      <c r="L58" t="s">
        <v>29</v>
      </c>
      <c r="M58" s="2">
        <v>6.4020000000000001</v>
      </c>
      <c r="N58" s="2">
        <v>6.5659999999999998</v>
      </c>
      <c r="O58">
        <v>0.16400000000000001</v>
      </c>
      <c r="P58" t="s">
        <v>29</v>
      </c>
      <c r="Q58" t="s">
        <v>29</v>
      </c>
      <c r="R58" t="s">
        <v>29</v>
      </c>
      <c r="S58" t="s">
        <v>30</v>
      </c>
      <c r="T58" s="2">
        <f t="shared" si="0"/>
        <v>0.1639999999999997</v>
      </c>
      <c r="U58" s="2"/>
    </row>
    <row r="59" spans="1:21" x14ac:dyDescent="0.45">
      <c r="A59" t="s">
        <v>20</v>
      </c>
      <c r="B59" t="s">
        <v>21</v>
      </c>
      <c r="C59" t="s">
        <v>22</v>
      </c>
      <c r="D59" t="s">
        <v>56</v>
      </c>
      <c r="E59">
        <v>7</v>
      </c>
      <c r="F59" t="s">
        <v>132</v>
      </c>
      <c r="G59" t="s">
        <v>133</v>
      </c>
      <c r="H59" t="s">
        <v>26</v>
      </c>
      <c r="I59" t="s">
        <v>27</v>
      </c>
      <c r="J59" t="s">
        <v>121</v>
      </c>
      <c r="K59">
        <v>1.8939999999999999</v>
      </c>
      <c r="L59" t="s">
        <v>29</v>
      </c>
      <c r="M59" s="2">
        <v>6.5250000000000004</v>
      </c>
      <c r="N59" s="2">
        <v>6.6719999999999997</v>
      </c>
      <c r="O59">
        <v>0.14699999999999999</v>
      </c>
      <c r="P59">
        <v>3.7999999999999999E-2</v>
      </c>
      <c r="Q59">
        <v>3.1E-2</v>
      </c>
      <c r="R59" t="s">
        <v>29</v>
      </c>
      <c r="S59" t="s">
        <v>30</v>
      </c>
      <c r="T59" s="2">
        <f t="shared" si="0"/>
        <v>0.14699999999999935</v>
      </c>
      <c r="U59" s="2"/>
    </row>
    <row r="60" spans="1:21" x14ac:dyDescent="0.45">
      <c r="A60" t="s">
        <v>20</v>
      </c>
      <c r="B60" t="s">
        <v>21</v>
      </c>
      <c r="C60" t="s">
        <v>22</v>
      </c>
      <c r="D60" t="s">
        <v>56</v>
      </c>
      <c r="E60">
        <v>7</v>
      </c>
      <c r="F60" t="s">
        <v>132</v>
      </c>
      <c r="G60" t="s">
        <v>133</v>
      </c>
      <c r="H60" t="s">
        <v>26</v>
      </c>
      <c r="I60" t="s">
        <v>32</v>
      </c>
      <c r="J60" t="s">
        <v>121</v>
      </c>
      <c r="K60">
        <v>2.9089999999999998</v>
      </c>
      <c r="L60" t="s">
        <v>29</v>
      </c>
      <c r="M60" s="2">
        <v>6.5090000000000003</v>
      </c>
      <c r="N60" s="2">
        <v>6.7069999999999999</v>
      </c>
      <c r="O60">
        <v>0.19800000000000001</v>
      </c>
      <c r="P60" t="s">
        <v>29</v>
      </c>
      <c r="Q60" t="s">
        <v>29</v>
      </c>
      <c r="R60" t="s">
        <v>29</v>
      </c>
      <c r="S60" t="s">
        <v>30</v>
      </c>
      <c r="T60" s="2">
        <f t="shared" si="0"/>
        <v>0.19799999999999951</v>
      </c>
      <c r="U60" s="2"/>
    </row>
    <row r="61" spans="1:21" x14ac:dyDescent="0.45">
      <c r="A61" t="s">
        <v>20</v>
      </c>
      <c r="B61" t="s">
        <v>21</v>
      </c>
      <c r="C61" t="s">
        <v>22</v>
      </c>
      <c r="D61" t="s">
        <v>59</v>
      </c>
      <c r="E61">
        <v>8</v>
      </c>
      <c r="F61" t="s">
        <v>134</v>
      </c>
      <c r="G61" t="s">
        <v>135</v>
      </c>
      <c r="H61" t="s">
        <v>26</v>
      </c>
      <c r="I61" t="s">
        <v>27</v>
      </c>
      <c r="J61" t="s">
        <v>121</v>
      </c>
      <c r="K61">
        <v>1.877</v>
      </c>
      <c r="L61" t="s">
        <v>29</v>
      </c>
      <c r="M61" s="2">
        <v>6.5019999999999998</v>
      </c>
      <c r="N61" s="2">
        <v>6.6210000000000004</v>
      </c>
      <c r="O61">
        <v>0.11899999999999999</v>
      </c>
      <c r="P61">
        <v>8.5999999999999993E-2</v>
      </c>
      <c r="Q61">
        <v>7.0999999999999994E-2</v>
      </c>
      <c r="R61" t="s">
        <v>29</v>
      </c>
      <c r="S61" t="s">
        <v>30</v>
      </c>
      <c r="T61" s="2">
        <f t="shared" si="0"/>
        <v>0.11900000000000066</v>
      </c>
      <c r="U61" s="2"/>
    </row>
    <row r="62" spans="1:21" x14ac:dyDescent="0.45">
      <c r="A62" t="s">
        <v>20</v>
      </c>
      <c r="B62" t="s">
        <v>21</v>
      </c>
      <c r="C62" t="s">
        <v>22</v>
      </c>
      <c r="D62" t="s">
        <v>59</v>
      </c>
      <c r="E62">
        <v>8</v>
      </c>
      <c r="F62" t="s">
        <v>134</v>
      </c>
      <c r="G62" t="s">
        <v>135</v>
      </c>
      <c r="H62" t="s">
        <v>26</v>
      </c>
      <c r="I62" t="s">
        <v>32</v>
      </c>
      <c r="J62" t="s">
        <v>121</v>
      </c>
      <c r="K62">
        <v>3.399</v>
      </c>
      <c r="L62" t="s">
        <v>29</v>
      </c>
      <c r="M62" s="2">
        <v>6.5259999999999998</v>
      </c>
      <c r="N62" s="2">
        <v>6.7439999999999998</v>
      </c>
      <c r="O62">
        <v>0.218</v>
      </c>
      <c r="P62" t="s">
        <v>29</v>
      </c>
      <c r="Q62" t="s">
        <v>29</v>
      </c>
      <c r="R62" t="s">
        <v>29</v>
      </c>
      <c r="S62" t="s">
        <v>30</v>
      </c>
      <c r="T62" s="2">
        <f t="shared" si="0"/>
        <v>0.21799999999999997</v>
      </c>
      <c r="U62" s="2"/>
    </row>
    <row r="63" spans="1:21" x14ac:dyDescent="0.45">
      <c r="A63" t="s">
        <v>20</v>
      </c>
      <c r="B63" t="s">
        <v>21</v>
      </c>
      <c r="C63" t="s">
        <v>22</v>
      </c>
      <c r="D63" t="s">
        <v>63</v>
      </c>
      <c r="E63">
        <v>9</v>
      </c>
      <c r="F63" t="s">
        <v>136</v>
      </c>
      <c r="G63" t="s">
        <v>137</v>
      </c>
      <c r="H63" t="s">
        <v>26</v>
      </c>
      <c r="I63" t="s">
        <v>27</v>
      </c>
      <c r="J63" t="s">
        <v>121</v>
      </c>
      <c r="K63">
        <v>1.427</v>
      </c>
      <c r="L63" t="s">
        <v>29</v>
      </c>
      <c r="M63" s="2">
        <v>6.5279999999999996</v>
      </c>
      <c r="N63" s="2">
        <v>6.62</v>
      </c>
      <c r="O63">
        <v>9.1999999999999998E-2</v>
      </c>
      <c r="P63">
        <v>0.1</v>
      </c>
      <c r="Q63">
        <v>0.11799999999999999</v>
      </c>
      <c r="R63" t="s">
        <v>29</v>
      </c>
      <c r="S63" t="s">
        <v>30</v>
      </c>
      <c r="T63" s="2">
        <f t="shared" si="0"/>
        <v>9.2000000000000526E-2</v>
      </c>
      <c r="U63" s="2"/>
    </row>
    <row r="64" spans="1:21" x14ac:dyDescent="0.45">
      <c r="A64" t="s">
        <v>20</v>
      </c>
      <c r="B64" t="s">
        <v>21</v>
      </c>
      <c r="C64" t="s">
        <v>22</v>
      </c>
      <c r="D64" t="s">
        <v>63</v>
      </c>
      <c r="E64">
        <v>9</v>
      </c>
      <c r="F64" t="s">
        <v>136</v>
      </c>
      <c r="G64" t="s">
        <v>137</v>
      </c>
      <c r="H64" t="s">
        <v>26</v>
      </c>
      <c r="I64" t="s">
        <v>32</v>
      </c>
      <c r="J64" t="s">
        <v>121</v>
      </c>
      <c r="K64">
        <v>1.49</v>
      </c>
      <c r="L64" t="s">
        <v>29</v>
      </c>
      <c r="M64" s="2">
        <v>6.5190000000000001</v>
      </c>
      <c r="N64" s="2">
        <v>6.6059999999999999</v>
      </c>
      <c r="O64">
        <v>8.6999999999999994E-2</v>
      </c>
      <c r="P64" t="s">
        <v>29</v>
      </c>
      <c r="Q64" t="s">
        <v>29</v>
      </c>
      <c r="R64" t="s">
        <v>29</v>
      </c>
      <c r="S64" t="s">
        <v>30</v>
      </c>
      <c r="T64" s="2">
        <f t="shared" si="0"/>
        <v>8.6999999999999744E-2</v>
      </c>
      <c r="U64" s="2"/>
    </row>
    <row r="65" spans="1:21" x14ac:dyDescent="0.45">
      <c r="A65" t="s">
        <v>20</v>
      </c>
      <c r="B65" t="s">
        <v>21</v>
      </c>
      <c r="C65" t="s">
        <v>22</v>
      </c>
      <c r="D65" t="s">
        <v>67</v>
      </c>
      <c r="E65">
        <v>10</v>
      </c>
      <c r="F65" t="s">
        <v>138</v>
      </c>
      <c r="G65" t="s">
        <v>139</v>
      </c>
      <c r="H65" t="s">
        <v>26</v>
      </c>
      <c r="I65" t="s">
        <v>27</v>
      </c>
      <c r="J65" t="s">
        <v>121</v>
      </c>
      <c r="K65">
        <v>2.1230000000000002</v>
      </c>
      <c r="L65" t="s">
        <v>29</v>
      </c>
      <c r="M65" s="2">
        <v>6.4909999999999997</v>
      </c>
      <c r="N65" s="2">
        <v>6.641</v>
      </c>
      <c r="O65">
        <v>0.15</v>
      </c>
      <c r="P65">
        <v>9.4E-2</v>
      </c>
      <c r="Q65">
        <v>5.7000000000000002E-2</v>
      </c>
      <c r="R65" t="s">
        <v>29</v>
      </c>
      <c r="S65" t="s">
        <v>30</v>
      </c>
      <c r="T65" s="2">
        <f t="shared" si="0"/>
        <v>0.15000000000000036</v>
      </c>
      <c r="U65" s="2"/>
    </row>
    <row r="66" spans="1:21" x14ac:dyDescent="0.45">
      <c r="A66" t="s">
        <v>20</v>
      </c>
      <c r="B66" t="s">
        <v>21</v>
      </c>
      <c r="C66" t="s">
        <v>22</v>
      </c>
      <c r="D66" t="s">
        <v>67</v>
      </c>
      <c r="E66">
        <v>10</v>
      </c>
      <c r="F66" t="s">
        <v>138</v>
      </c>
      <c r="G66" t="s">
        <v>139</v>
      </c>
      <c r="H66" t="s">
        <v>26</v>
      </c>
      <c r="I66" t="s">
        <v>32</v>
      </c>
      <c r="J66" t="s">
        <v>121</v>
      </c>
      <c r="K66">
        <v>1.694</v>
      </c>
      <c r="L66" t="s">
        <v>29</v>
      </c>
      <c r="M66" s="2">
        <v>6.5579999999999998</v>
      </c>
      <c r="N66" s="2">
        <v>6.6859999999999999</v>
      </c>
      <c r="O66">
        <v>0.128</v>
      </c>
      <c r="P66" t="s">
        <v>29</v>
      </c>
      <c r="Q66" t="s">
        <v>29</v>
      </c>
      <c r="R66" t="s">
        <v>29</v>
      </c>
      <c r="S66" t="s">
        <v>30</v>
      </c>
      <c r="T66" s="2">
        <f t="shared" si="0"/>
        <v>0.12800000000000011</v>
      </c>
      <c r="U66" s="2"/>
    </row>
    <row r="67" spans="1:21" x14ac:dyDescent="0.45">
      <c r="A67" t="s">
        <v>20</v>
      </c>
      <c r="B67" t="s">
        <v>21</v>
      </c>
      <c r="C67" t="s">
        <v>22</v>
      </c>
      <c r="D67" t="s">
        <v>71</v>
      </c>
      <c r="E67">
        <v>11</v>
      </c>
      <c r="F67" t="s">
        <v>140</v>
      </c>
      <c r="G67" t="s">
        <v>141</v>
      </c>
      <c r="H67" t="s">
        <v>26</v>
      </c>
      <c r="I67" t="s">
        <v>27</v>
      </c>
      <c r="J67" t="s">
        <v>121</v>
      </c>
      <c r="K67">
        <v>2.0640000000000001</v>
      </c>
      <c r="L67" t="s">
        <v>29</v>
      </c>
      <c r="M67" s="2">
        <v>6.5179999999999998</v>
      </c>
      <c r="N67" s="2">
        <v>6.6440000000000001</v>
      </c>
      <c r="O67">
        <v>0.126</v>
      </c>
      <c r="P67">
        <v>9.4E-2</v>
      </c>
      <c r="Q67">
        <v>0.11799999999999999</v>
      </c>
      <c r="R67" t="s">
        <v>29</v>
      </c>
      <c r="S67" t="s">
        <v>30</v>
      </c>
      <c r="T67" s="2">
        <f t="shared" si="0"/>
        <v>0.12600000000000033</v>
      </c>
      <c r="U67" s="2"/>
    </row>
    <row r="68" spans="1:21" x14ac:dyDescent="0.45">
      <c r="A68" t="s">
        <v>20</v>
      </c>
      <c r="B68" t="s">
        <v>21</v>
      </c>
      <c r="C68" t="s">
        <v>22</v>
      </c>
      <c r="D68" t="s">
        <v>71</v>
      </c>
      <c r="E68">
        <v>11</v>
      </c>
      <c r="F68" t="s">
        <v>140</v>
      </c>
      <c r="G68" t="s">
        <v>141</v>
      </c>
      <c r="H68" t="s">
        <v>26</v>
      </c>
      <c r="I68" t="s">
        <v>32</v>
      </c>
      <c r="J68" t="s">
        <v>121</v>
      </c>
      <c r="K68">
        <v>2.4929999999999999</v>
      </c>
      <c r="L68" t="s">
        <v>29</v>
      </c>
      <c r="M68" s="2">
        <v>6.5129999999999999</v>
      </c>
      <c r="N68" s="2">
        <v>6.6920000000000002</v>
      </c>
      <c r="O68">
        <v>0.17899999999999999</v>
      </c>
      <c r="P68" t="s">
        <v>29</v>
      </c>
      <c r="Q68" t="s">
        <v>29</v>
      </c>
      <c r="R68" t="s">
        <v>29</v>
      </c>
      <c r="S68" t="s">
        <v>30</v>
      </c>
      <c r="T68" s="2">
        <f t="shared" si="0"/>
        <v>0.17900000000000027</v>
      </c>
      <c r="U68" s="2"/>
    </row>
    <row r="69" spans="1:21" x14ac:dyDescent="0.45">
      <c r="A69" t="s">
        <v>20</v>
      </c>
      <c r="B69" t="s">
        <v>21</v>
      </c>
      <c r="C69" t="s">
        <v>22</v>
      </c>
      <c r="D69" t="s">
        <v>74</v>
      </c>
      <c r="E69">
        <v>12</v>
      </c>
      <c r="F69" t="s">
        <v>142</v>
      </c>
      <c r="G69" t="s">
        <v>143</v>
      </c>
      <c r="H69" t="s">
        <v>26</v>
      </c>
      <c r="I69" t="s">
        <v>27</v>
      </c>
      <c r="J69" t="s">
        <v>121</v>
      </c>
      <c r="K69">
        <v>2.5830000000000002</v>
      </c>
      <c r="L69" t="s">
        <v>29</v>
      </c>
      <c r="M69" s="2">
        <v>6.532</v>
      </c>
      <c r="N69" s="2">
        <v>6.67</v>
      </c>
      <c r="O69">
        <v>0.13800000000000001</v>
      </c>
      <c r="P69">
        <v>0.125</v>
      </c>
      <c r="Q69">
        <v>0.113</v>
      </c>
      <c r="R69" t="s">
        <v>29</v>
      </c>
      <c r="S69" t="s">
        <v>30</v>
      </c>
      <c r="T69" s="2">
        <f t="shared" si="0"/>
        <v>0.1379999999999999</v>
      </c>
      <c r="U69" s="2"/>
    </row>
    <row r="70" spans="1:21" x14ac:dyDescent="0.45">
      <c r="A70" t="s">
        <v>20</v>
      </c>
      <c r="B70" t="s">
        <v>21</v>
      </c>
      <c r="C70" t="s">
        <v>22</v>
      </c>
      <c r="D70" t="s">
        <v>74</v>
      </c>
      <c r="E70">
        <v>12</v>
      </c>
      <c r="F70" t="s">
        <v>142</v>
      </c>
      <c r="G70" t="s">
        <v>143</v>
      </c>
      <c r="H70" t="s">
        <v>26</v>
      </c>
      <c r="I70" t="s">
        <v>32</v>
      </c>
      <c r="J70" t="s">
        <v>121</v>
      </c>
      <c r="K70">
        <v>1.593</v>
      </c>
      <c r="L70" t="s">
        <v>29</v>
      </c>
      <c r="M70" s="2">
        <v>6.4740000000000002</v>
      </c>
      <c r="N70" s="2">
        <v>6.58</v>
      </c>
      <c r="O70">
        <v>0.106</v>
      </c>
      <c r="P70" t="s">
        <v>29</v>
      </c>
      <c r="Q70" t="s">
        <v>29</v>
      </c>
      <c r="R70" t="s">
        <v>29</v>
      </c>
      <c r="S70" t="s">
        <v>30</v>
      </c>
      <c r="T70" s="2">
        <f t="shared" si="0"/>
        <v>0.10599999999999987</v>
      </c>
      <c r="U70" s="2"/>
    </row>
    <row r="71" spans="1:21" x14ac:dyDescent="0.45">
      <c r="A71" t="s">
        <v>20</v>
      </c>
      <c r="B71" t="s">
        <v>21</v>
      </c>
      <c r="C71" t="s">
        <v>22</v>
      </c>
      <c r="D71" t="s">
        <v>78</v>
      </c>
      <c r="E71">
        <v>13</v>
      </c>
      <c r="F71" t="s">
        <v>144</v>
      </c>
      <c r="G71" t="s">
        <v>145</v>
      </c>
      <c r="H71" t="s">
        <v>26</v>
      </c>
      <c r="I71" t="s">
        <v>27</v>
      </c>
      <c r="J71" t="s">
        <v>121</v>
      </c>
      <c r="K71">
        <v>2.4769999999999999</v>
      </c>
      <c r="L71" t="s">
        <v>29</v>
      </c>
      <c r="M71" s="2">
        <v>6.5289999999999999</v>
      </c>
      <c r="N71" s="2">
        <v>6.6820000000000004</v>
      </c>
      <c r="O71">
        <v>0.153</v>
      </c>
      <c r="P71">
        <v>0.125</v>
      </c>
      <c r="Q71">
        <v>0.11799999999999999</v>
      </c>
      <c r="R71" t="s">
        <v>29</v>
      </c>
      <c r="S71" t="s">
        <v>30</v>
      </c>
      <c r="T71" s="2">
        <f t="shared" si="0"/>
        <v>0.15300000000000047</v>
      </c>
      <c r="U71" s="2"/>
    </row>
    <row r="72" spans="1:21" x14ac:dyDescent="0.45">
      <c r="A72" t="s">
        <v>20</v>
      </c>
      <c r="B72" t="s">
        <v>21</v>
      </c>
      <c r="C72" t="s">
        <v>22</v>
      </c>
      <c r="D72" t="s">
        <v>78</v>
      </c>
      <c r="E72">
        <v>13</v>
      </c>
      <c r="F72" t="s">
        <v>144</v>
      </c>
      <c r="G72" t="s">
        <v>145</v>
      </c>
      <c r="H72" t="s">
        <v>26</v>
      </c>
      <c r="I72" t="s">
        <v>32</v>
      </c>
      <c r="J72" t="s">
        <v>121</v>
      </c>
      <c r="K72">
        <v>2.0339999999999998</v>
      </c>
      <c r="L72" t="s">
        <v>29</v>
      </c>
      <c r="M72" s="2">
        <v>6.476</v>
      </c>
      <c r="N72" s="2">
        <v>6.6050000000000004</v>
      </c>
      <c r="O72">
        <v>0.129</v>
      </c>
      <c r="P72" t="s">
        <v>29</v>
      </c>
      <c r="Q72" t="s">
        <v>29</v>
      </c>
      <c r="R72" t="s">
        <v>29</v>
      </c>
      <c r="S72" t="s">
        <v>30</v>
      </c>
      <c r="T72" s="2">
        <f t="shared" si="0"/>
        <v>0.12900000000000045</v>
      </c>
      <c r="U72" s="2"/>
    </row>
    <row r="73" spans="1:21" x14ac:dyDescent="0.45">
      <c r="A73" t="s">
        <v>20</v>
      </c>
      <c r="B73" t="s">
        <v>21</v>
      </c>
      <c r="C73" t="s">
        <v>22</v>
      </c>
      <c r="D73" t="s">
        <v>82</v>
      </c>
      <c r="E73">
        <v>14</v>
      </c>
      <c r="F73" t="s">
        <v>146</v>
      </c>
      <c r="G73" t="s">
        <v>147</v>
      </c>
      <c r="H73" t="s">
        <v>26</v>
      </c>
      <c r="I73" t="s">
        <v>27</v>
      </c>
      <c r="J73" t="s">
        <v>121</v>
      </c>
      <c r="K73">
        <v>1.9379999999999999</v>
      </c>
      <c r="L73" t="s">
        <v>29</v>
      </c>
      <c r="M73" s="2">
        <v>6.508</v>
      </c>
      <c r="N73" s="2">
        <v>6.6529999999999996</v>
      </c>
      <c r="O73">
        <v>0.14499999999999999</v>
      </c>
      <c r="P73">
        <v>9.6000000000000002E-2</v>
      </c>
      <c r="Q73">
        <v>7.8E-2</v>
      </c>
      <c r="R73" t="s">
        <v>29</v>
      </c>
      <c r="S73" t="s">
        <v>30</v>
      </c>
      <c r="T73" s="2">
        <f t="shared" si="0"/>
        <v>0.14499999999999957</v>
      </c>
      <c r="U73" s="2"/>
    </row>
    <row r="74" spans="1:21" x14ac:dyDescent="0.45">
      <c r="A74" t="s">
        <v>20</v>
      </c>
      <c r="B74" t="s">
        <v>21</v>
      </c>
      <c r="C74" t="s">
        <v>22</v>
      </c>
      <c r="D74" t="s">
        <v>82</v>
      </c>
      <c r="E74">
        <v>14</v>
      </c>
      <c r="F74" t="s">
        <v>146</v>
      </c>
      <c r="G74" t="s">
        <v>147</v>
      </c>
      <c r="H74" t="s">
        <v>26</v>
      </c>
      <c r="I74" t="s">
        <v>32</v>
      </c>
      <c r="J74" t="s">
        <v>121</v>
      </c>
      <c r="K74">
        <v>2.105</v>
      </c>
      <c r="L74" t="s">
        <v>29</v>
      </c>
      <c r="M74" s="2">
        <v>6.4770000000000003</v>
      </c>
      <c r="N74" s="2">
        <v>6.65</v>
      </c>
      <c r="O74">
        <v>0.17299999999999999</v>
      </c>
      <c r="P74" t="s">
        <v>29</v>
      </c>
      <c r="Q74" t="s">
        <v>29</v>
      </c>
      <c r="R74" t="s">
        <v>29</v>
      </c>
      <c r="S74" t="s">
        <v>30</v>
      </c>
      <c r="T74" s="2">
        <f t="shared" si="0"/>
        <v>0.17300000000000004</v>
      </c>
      <c r="U74" s="2"/>
    </row>
    <row r="75" spans="1:21" x14ac:dyDescent="0.45">
      <c r="A75" t="s">
        <v>20</v>
      </c>
      <c r="B75" t="s">
        <v>21</v>
      </c>
      <c r="C75" t="s">
        <v>22</v>
      </c>
      <c r="D75" t="s">
        <v>86</v>
      </c>
      <c r="E75">
        <v>15</v>
      </c>
      <c r="F75" t="s">
        <v>148</v>
      </c>
      <c r="G75" t="s">
        <v>149</v>
      </c>
      <c r="H75" t="s">
        <v>26</v>
      </c>
      <c r="I75" t="s">
        <v>27</v>
      </c>
      <c r="J75" t="s">
        <v>121</v>
      </c>
      <c r="K75">
        <v>2.15</v>
      </c>
      <c r="L75" t="s">
        <v>29</v>
      </c>
      <c r="M75" s="2">
        <v>6.5270000000000001</v>
      </c>
      <c r="N75" s="2">
        <v>6.6989999999999998</v>
      </c>
      <c r="O75">
        <v>0.17199999999999999</v>
      </c>
      <c r="P75">
        <v>8.7999999999999995E-2</v>
      </c>
      <c r="Q75">
        <v>0.06</v>
      </c>
      <c r="R75" t="s">
        <v>29</v>
      </c>
      <c r="S75" t="s">
        <v>30</v>
      </c>
      <c r="T75" s="2">
        <f t="shared" si="0"/>
        <v>0.17199999999999971</v>
      </c>
      <c r="U75" s="2"/>
    </row>
    <row r="76" spans="1:21" x14ac:dyDescent="0.45">
      <c r="A76" t="s">
        <v>20</v>
      </c>
      <c r="B76" t="s">
        <v>21</v>
      </c>
      <c r="C76" t="s">
        <v>22</v>
      </c>
      <c r="D76" t="s">
        <v>86</v>
      </c>
      <c r="E76">
        <v>15</v>
      </c>
      <c r="F76" t="s">
        <v>148</v>
      </c>
      <c r="G76" t="s">
        <v>149</v>
      </c>
      <c r="H76" t="s">
        <v>26</v>
      </c>
      <c r="I76" t="s">
        <v>32</v>
      </c>
      <c r="J76" t="s">
        <v>121</v>
      </c>
      <c r="K76">
        <v>2.3380000000000001</v>
      </c>
      <c r="L76" t="s">
        <v>29</v>
      </c>
      <c r="M76" s="2">
        <v>6.4820000000000002</v>
      </c>
      <c r="N76" s="2">
        <v>6.6550000000000002</v>
      </c>
      <c r="O76">
        <v>0.17299999999999999</v>
      </c>
      <c r="P76" t="s">
        <v>29</v>
      </c>
      <c r="Q76" t="s">
        <v>29</v>
      </c>
      <c r="R76" t="s">
        <v>29</v>
      </c>
      <c r="S76" t="s">
        <v>30</v>
      </c>
      <c r="T76" s="2">
        <f t="shared" si="0"/>
        <v>0.17300000000000004</v>
      </c>
      <c r="U76" s="2"/>
    </row>
    <row r="77" spans="1:21" x14ac:dyDescent="0.45">
      <c r="A77" t="s">
        <v>150</v>
      </c>
      <c r="B77" t="s">
        <v>21</v>
      </c>
      <c r="C77" t="s">
        <v>22</v>
      </c>
      <c r="D77" t="s">
        <v>23</v>
      </c>
      <c r="E77">
        <v>1</v>
      </c>
      <c r="F77" t="s">
        <v>151</v>
      </c>
      <c r="G77" t="s">
        <v>152</v>
      </c>
      <c r="H77" t="s">
        <v>26</v>
      </c>
      <c r="I77" t="s">
        <v>27</v>
      </c>
      <c r="J77" t="s">
        <v>121</v>
      </c>
      <c r="K77">
        <v>2.0590000000000002</v>
      </c>
      <c r="L77" s="2" t="s">
        <v>29</v>
      </c>
      <c r="M77" s="3">
        <v>6.9420000000000002</v>
      </c>
      <c r="N77" s="3">
        <v>7.0659999999999998</v>
      </c>
      <c r="O77">
        <v>0.124</v>
      </c>
      <c r="P77">
        <v>0.06</v>
      </c>
      <c r="Q77">
        <v>0.06</v>
      </c>
      <c r="R77">
        <v>2.0499999999999998</v>
      </c>
      <c r="S77" t="s">
        <v>153</v>
      </c>
      <c r="T77" s="2">
        <f>N77-M77</f>
        <v>0.12399999999999967</v>
      </c>
    </row>
    <row r="78" spans="1:21" x14ac:dyDescent="0.45">
      <c r="A78" t="s">
        <v>150</v>
      </c>
      <c r="B78" t="s">
        <v>21</v>
      </c>
      <c r="C78" t="s">
        <v>22</v>
      </c>
      <c r="D78" t="s">
        <v>23</v>
      </c>
      <c r="E78">
        <v>1</v>
      </c>
      <c r="F78" t="s">
        <v>154</v>
      </c>
      <c r="G78" t="s">
        <v>155</v>
      </c>
      <c r="H78" t="s">
        <v>26</v>
      </c>
      <c r="I78" t="s">
        <v>32</v>
      </c>
      <c r="J78" t="s">
        <v>121</v>
      </c>
      <c r="K78">
        <v>1.9950000000000001</v>
      </c>
      <c r="L78" s="2" t="s">
        <v>29</v>
      </c>
      <c r="M78" s="3">
        <v>6.9470000000000001</v>
      </c>
      <c r="N78" s="3">
        <v>7.077</v>
      </c>
      <c r="O78">
        <v>0.13</v>
      </c>
      <c r="P78" t="s">
        <v>29</v>
      </c>
      <c r="Q78" t="s">
        <v>29</v>
      </c>
      <c r="R78" t="s">
        <v>29</v>
      </c>
      <c r="S78" t="s">
        <v>153</v>
      </c>
      <c r="T78" s="2">
        <f t="shared" ref="T78:T107" si="1">N78-M78</f>
        <v>0.12999999999999989</v>
      </c>
    </row>
    <row r="79" spans="1:21" x14ac:dyDescent="0.45">
      <c r="A79" t="s">
        <v>150</v>
      </c>
      <c r="B79" t="s">
        <v>21</v>
      </c>
      <c r="C79" t="s">
        <v>22</v>
      </c>
      <c r="D79" t="s">
        <v>23</v>
      </c>
      <c r="E79">
        <v>1</v>
      </c>
      <c r="F79" t="s">
        <v>156</v>
      </c>
      <c r="G79" t="s">
        <v>157</v>
      </c>
      <c r="H79" t="s">
        <v>26</v>
      </c>
      <c r="I79" t="s">
        <v>27</v>
      </c>
      <c r="J79" t="s">
        <v>28</v>
      </c>
      <c r="K79">
        <v>1.0429999999999999</v>
      </c>
      <c r="L79">
        <v>0.90200000000000002</v>
      </c>
      <c r="M79" s="2" t="s">
        <v>29</v>
      </c>
      <c r="N79" s="2" t="s">
        <v>29</v>
      </c>
      <c r="O79">
        <v>0.219</v>
      </c>
      <c r="P79">
        <v>4.5999999999999999E-2</v>
      </c>
      <c r="Q79">
        <v>4.2999999999999997E-2</v>
      </c>
      <c r="R79">
        <v>2.0699999999999998</v>
      </c>
      <c r="S79" t="s">
        <v>153</v>
      </c>
      <c r="T79" s="2"/>
    </row>
    <row r="80" spans="1:21" x14ac:dyDescent="0.45">
      <c r="A80" t="s">
        <v>150</v>
      </c>
      <c r="B80" t="s">
        <v>21</v>
      </c>
      <c r="C80" t="s">
        <v>22</v>
      </c>
      <c r="D80" t="s">
        <v>23</v>
      </c>
      <c r="E80">
        <v>1</v>
      </c>
      <c r="F80" t="s">
        <v>158</v>
      </c>
      <c r="G80" t="s">
        <v>159</v>
      </c>
      <c r="H80" t="s">
        <v>26</v>
      </c>
      <c r="I80" t="s">
        <v>32</v>
      </c>
      <c r="J80" t="s">
        <v>28</v>
      </c>
      <c r="K80">
        <v>2.6619999999999999</v>
      </c>
      <c r="L80">
        <v>0.97799999999999998</v>
      </c>
      <c r="M80" s="2" t="s">
        <v>29</v>
      </c>
      <c r="N80" s="2" t="s">
        <v>29</v>
      </c>
      <c r="O80">
        <v>0.20599999999999999</v>
      </c>
      <c r="P80" t="s">
        <v>29</v>
      </c>
      <c r="Q80" t="s">
        <v>29</v>
      </c>
      <c r="R80" t="s">
        <v>29</v>
      </c>
      <c r="S80" t="s">
        <v>153</v>
      </c>
      <c r="T80" s="2"/>
    </row>
    <row r="81" spans="1:23" x14ac:dyDescent="0.45">
      <c r="A81" t="s">
        <v>150</v>
      </c>
      <c r="B81" t="s">
        <v>21</v>
      </c>
      <c r="C81" t="s">
        <v>22</v>
      </c>
      <c r="D81" t="s">
        <v>31</v>
      </c>
      <c r="E81">
        <v>1</v>
      </c>
      <c r="F81" t="s">
        <v>160</v>
      </c>
      <c r="G81" t="s">
        <v>161</v>
      </c>
      <c r="H81" t="s">
        <v>32</v>
      </c>
      <c r="I81" t="s">
        <v>27</v>
      </c>
      <c r="J81" t="s">
        <v>28</v>
      </c>
      <c r="K81">
        <v>2.0190000000000001</v>
      </c>
      <c r="L81">
        <v>1.0009999999999999</v>
      </c>
      <c r="M81" s="2" t="s">
        <v>29</v>
      </c>
      <c r="N81" s="2" t="s">
        <v>29</v>
      </c>
      <c r="O81">
        <v>0.22600000000000001</v>
      </c>
      <c r="P81">
        <v>4.5999999999999999E-2</v>
      </c>
      <c r="Q81">
        <v>5.0999999999999997E-2</v>
      </c>
      <c r="R81">
        <v>1.839</v>
      </c>
      <c r="S81" t="s">
        <v>153</v>
      </c>
      <c r="T81" s="2"/>
    </row>
    <row r="82" spans="1:23" x14ac:dyDescent="0.45">
      <c r="A82" t="s">
        <v>150</v>
      </c>
      <c r="B82" t="s">
        <v>21</v>
      </c>
      <c r="C82" t="s">
        <v>22</v>
      </c>
      <c r="D82" t="s">
        <v>31</v>
      </c>
      <c r="E82">
        <v>1</v>
      </c>
      <c r="F82" t="s">
        <v>162</v>
      </c>
      <c r="G82" t="s">
        <v>163</v>
      </c>
      <c r="H82" t="s">
        <v>32</v>
      </c>
      <c r="I82" t="s">
        <v>32</v>
      </c>
      <c r="J82" t="s">
        <v>28</v>
      </c>
      <c r="K82">
        <v>1.212</v>
      </c>
      <c r="L82">
        <v>0.96699999999999997</v>
      </c>
      <c r="M82" s="2" t="s">
        <v>29</v>
      </c>
      <c r="N82" s="2" t="s">
        <v>29</v>
      </c>
      <c r="O82">
        <v>0.13300000000000001</v>
      </c>
      <c r="P82" t="s">
        <v>29</v>
      </c>
      <c r="Q82" t="s">
        <v>29</v>
      </c>
      <c r="R82" t="s">
        <v>29</v>
      </c>
      <c r="S82" t="s">
        <v>153</v>
      </c>
      <c r="T82" s="2"/>
    </row>
    <row r="83" spans="1:23" x14ac:dyDescent="0.45">
      <c r="A83" t="s">
        <v>150</v>
      </c>
      <c r="B83" t="s">
        <v>21</v>
      </c>
      <c r="C83" t="s">
        <v>22</v>
      </c>
      <c r="D83" t="s">
        <v>33</v>
      </c>
      <c r="E83">
        <v>2</v>
      </c>
      <c r="F83" t="s">
        <v>164</v>
      </c>
      <c r="G83" t="s">
        <v>165</v>
      </c>
      <c r="H83" t="s">
        <v>26</v>
      </c>
      <c r="I83" t="s">
        <v>27</v>
      </c>
      <c r="J83" t="s">
        <v>121</v>
      </c>
      <c r="K83">
        <v>2.077</v>
      </c>
      <c r="L83" s="2" t="s">
        <v>29</v>
      </c>
      <c r="M83" s="3">
        <v>6.96</v>
      </c>
      <c r="N83" s="3">
        <v>7.0869999999999997</v>
      </c>
      <c r="O83">
        <v>0.127</v>
      </c>
      <c r="P83">
        <v>5.7000000000000002E-2</v>
      </c>
      <c r="Q83">
        <v>4.9000000000000002E-2</v>
      </c>
      <c r="R83">
        <v>2.0019999999999998</v>
      </c>
      <c r="S83" t="s">
        <v>153</v>
      </c>
      <c r="T83" s="2">
        <f t="shared" si="1"/>
        <v>0.12699999999999978</v>
      </c>
    </row>
    <row r="84" spans="1:23" x14ac:dyDescent="0.45">
      <c r="A84" t="s">
        <v>150</v>
      </c>
      <c r="B84" t="s">
        <v>21</v>
      </c>
      <c r="C84" t="s">
        <v>22</v>
      </c>
      <c r="D84" t="s">
        <v>33</v>
      </c>
      <c r="E84">
        <v>2</v>
      </c>
      <c r="F84" t="s">
        <v>166</v>
      </c>
      <c r="G84" t="s">
        <v>155</v>
      </c>
      <c r="H84" t="s">
        <v>26</v>
      </c>
      <c r="I84" t="s">
        <v>32</v>
      </c>
      <c r="J84" t="s">
        <v>121</v>
      </c>
      <c r="K84">
        <v>2.222</v>
      </c>
      <c r="L84" s="2" t="s">
        <v>29</v>
      </c>
      <c r="M84" s="3">
        <v>6.9189999999999996</v>
      </c>
      <c r="N84" s="3">
        <v>7.077</v>
      </c>
      <c r="O84">
        <v>0.158</v>
      </c>
      <c r="P84" t="s">
        <v>29</v>
      </c>
      <c r="Q84" t="s">
        <v>29</v>
      </c>
      <c r="R84" t="s">
        <v>29</v>
      </c>
      <c r="S84" t="s">
        <v>153</v>
      </c>
      <c r="T84" s="2">
        <f t="shared" si="1"/>
        <v>0.15800000000000036</v>
      </c>
    </row>
    <row r="85" spans="1:23" x14ac:dyDescent="0.45">
      <c r="A85" t="s">
        <v>150</v>
      </c>
      <c r="B85" t="s">
        <v>21</v>
      </c>
      <c r="C85" t="s">
        <v>22</v>
      </c>
      <c r="D85" t="s">
        <v>33</v>
      </c>
      <c r="E85">
        <v>2</v>
      </c>
      <c r="F85" t="s">
        <v>167</v>
      </c>
      <c r="G85" t="s">
        <v>168</v>
      </c>
      <c r="H85" t="s">
        <v>26</v>
      </c>
      <c r="I85" t="s">
        <v>27</v>
      </c>
      <c r="J85" t="s">
        <v>28</v>
      </c>
      <c r="K85">
        <v>2.3479999999999999</v>
      </c>
      <c r="L85">
        <v>0.91200000000000003</v>
      </c>
      <c r="M85" s="2" t="s">
        <v>29</v>
      </c>
      <c r="N85" s="2" t="s">
        <v>29</v>
      </c>
      <c r="O85">
        <v>0.24099999999999999</v>
      </c>
      <c r="P85">
        <v>5.6000000000000001E-2</v>
      </c>
      <c r="Q85">
        <v>5.7000000000000002E-2</v>
      </c>
      <c r="R85">
        <v>2.3159999999999998</v>
      </c>
      <c r="S85" t="s">
        <v>153</v>
      </c>
      <c r="T85" s="2"/>
    </row>
    <row r="86" spans="1:23" x14ac:dyDescent="0.45">
      <c r="A86" t="s">
        <v>150</v>
      </c>
      <c r="B86" t="s">
        <v>21</v>
      </c>
      <c r="C86" t="s">
        <v>22</v>
      </c>
      <c r="D86" t="s">
        <v>33</v>
      </c>
      <c r="E86">
        <v>2</v>
      </c>
      <c r="F86" t="s">
        <v>169</v>
      </c>
      <c r="G86" t="s">
        <v>170</v>
      </c>
      <c r="H86" t="s">
        <v>26</v>
      </c>
      <c r="I86" t="s">
        <v>32</v>
      </c>
      <c r="J86" t="s">
        <v>28</v>
      </c>
      <c r="K86">
        <v>2.0179999999999998</v>
      </c>
      <c r="L86">
        <v>1.141</v>
      </c>
      <c r="M86" s="2" t="s">
        <v>29</v>
      </c>
      <c r="N86" s="2" t="s">
        <v>29</v>
      </c>
      <c r="O86">
        <v>0.14599999999999999</v>
      </c>
      <c r="P86" t="s">
        <v>29</v>
      </c>
      <c r="Q86" t="s">
        <v>29</v>
      </c>
      <c r="R86" t="s">
        <v>29</v>
      </c>
      <c r="S86" t="s">
        <v>153</v>
      </c>
      <c r="T86" s="2"/>
    </row>
    <row r="87" spans="1:23" x14ac:dyDescent="0.45">
      <c r="A87" t="s">
        <v>150</v>
      </c>
      <c r="B87" t="s">
        <v>21</v>
      </c>
      <c r="C87" t="s">
        <v>22</v>
      </c>
      <c r="D87" t="s">
        <v>36</v>
      </c>
      <c r="E87">
        <v>2</v>
      </c>
      <c r="F87" t="s">
        <v>171</v>
      </c>
      <c r="G87" t="s">
        <v>172</v>
      </c>
      <c r="H87" t="s">
        <v>32</v>
      </c>
      <c r="I87" t="s">
        <v>27</v>
      </c>
      <c r="J87" t="s">
        <v>28</v>
      </c>
      <c r="K87">
        <v>3.0089999999999999</v>
      </c>
      <c r="L87">
        <v>0.84499999999999997</v>
      </c>
      <c r="M87" s="2" t="s">
        <v>29</v>
      </c>
      <c r="N87" s="2" t="s">
        <v>29</v>
      </c>
      <c r="O87">
        <v>0.23100000000000001</v>
      </c>
      <c r="P87">
        <v>2.9000000000000001E-2</v>
      </c>
      <c r="Q87">
        <v>2.8000000000000001E-2</v>
      </c>
      <c r="R87">
        <v>1.371</v>
      </c>
      <c r="S87" t="s">
        <v>153</v>
      </c>
      <c r="T87" s="2"/>
    </row>
    <row r="88" spans="1:23" x14ac:dyDescent="0.45">
      <c r="A88" t="s">
        <v>150</v>
      </c>
      <c r="B88" t="s">
        <v>21</v>
      </c>
      <c r="C88" t="s">
        <v>22</v>
      </c>
      <c r="D88" t="s">
        <v>36</v>
      </c>
      <c r="E88">
        <v>2</v>
      </c>
      <c r="F88" t="s">
        <v>173</v>
      </c>
      <c r="G88" t="s">
        <v>174</v>
      </c>
      <c r="H88" t="s">
        <v>32</v>
      </c>
      <c r="I88" t="s">
        <v>32</v>
      </c>
      <c r="J88" t="s">
        <v>28</v>
      </c>
      <c r="K88">
        <v>3.8109999999999999</v>
      </c>
      <c r="L88">
        <v>0.90600000000000003</v>
      </c>
      <c r="M88" s="2" t="s">
        <v>29</v>
      </c>
      <c r="N88" s="2" t="s">
        <v>29</v>
      </c>
      <c r="O88">
        <v>0.13600000000000001</v>
      </c>
      <c r="P88" t="s">
        <v>29</v>
      </c>
      <c r="Q88" t="s">
        <v>29</v>
      </c>
      <c r="R88" t="s">
        <v>29</v>
      </c>
      <c r="S88" t="s">
        <v>153</v>
      </c>
      <c r="T88" s="2"/>
    </row>
    <row r="89" spans="1:23" x14ac:dyDescent="0.45">
      <c r="A89" t="s">
        <v>150</v>
      </c>
      <c r="B89" t="s">
        <v>21</v>
      </c>
      <c r="C89" t="s">
        <v>22</v>
      </c>
      <c r="D89" t="s">
        <v>38</v>
      </c>
      <c r="E89">
        <v>3</v>
      </c>
      <c r="F89" t="s">
        <v>175</v>
      </c>
      <c r="G89" t="s">
        <v>176</v>
      </c>
      <c r="H89" t="s">
        <v>26</v>
      </c>
      <c r="I89" t="s">
        <v>27</v>
      </c>
      <c r="J89" t="s">
        <v>121</v>
      </c>
      <c r="K89">
        <v>2.2010000000000001</v>
      </c>
      <c r="L89" s="2" t="s">
        <v>29</v>
      </c>
      <c r="M89" s="3">
        <v>6.9480000000000004</v>
      </c>
      <c r="N89" s="3">
        <v>7.0869999999999997</v>
      </c>
      <c r="O89" s="7">
        <v>0.13900000000000001</v>
      </c>
      <c r="P89">
        <v>5.0999999999999997E-2</v>
      </c>
      <c r="Q89">
        <v>5.3999999999999999E-2</v>
      </c>
      <c r="R89">
        <v>2.004</v>
      </c>
      <c r="S89" t="s">
        <v>153</v>
      </c>
      <c r="T89" s="6">
        <f t="shared" si="1"/>
        <v>0.13899999999999935</v>
      </c>
      <c r="V89" s="8" t="s">
        <v>336</v>
      </c>
      <c r="W89" s="8"/>
    </row>
    <row r="90" spans="1:23" x14ac:dyDescent="0.45">
      <c r="A90" t="s">
        <v>150</v>
      </c>
      <c r="B90" t="s">
        <v>21</v>
      </c>
      <c r="C90" t="s">
        <v>22</v>
      </c>
      <c r="D90" t="s">
        <v>38</v>
      </c>
      <c r="E90">
        <v>3</v>
      </c>
      <c r="F90" t="s">
        <v>177</v>
      </c>
      <c r="G90" t="s">
        <v>178</v>
      </c>
      <c r="H90" t="s">
        <v>26</v>
      </c>
      <c r="I90" t="s">
        <v>32</v>
      </c>
      <c r="J90" t="s">
        <v>121</v>
      </c>
      <c r="K90">
        <v>2.1059999999999999</v>
      </c>
      <c r="L90" s="2" t="s">
        <v>29</v>
      </c>
      <c r="M90" s="3">
        <v>6.9180000000000001</v>
      </c>
      <c r="N90" s="3">
        <v>7.0629999999999997</v>
      </c>
      <c r="O90">
        <v>0.14499999999999999</v>
      </c>
      <c r="P90" t="s">
        <v>29</v>
      </c>
      <c r="Q90" t="s">
        <v>29</v>
      </c>
      <c r="R90" t="s">
        <v>29</v>
      </c>
      <c r="S90" t="s">
        <v>153</v>
      </c>
      <c r="T90" s="2">
        <f t="shared" si="1"/>
        <v>0.14499999999999957</v>
      </c>
    </row>
    <row r="91" spans="1:23" x14ac:dyDescent="0.45">
      <c r="A91" t="s">
        <v>150</v>
      </c>
      <c r="B91" t="s">
        <v>21</v>
      </c>
      <c r="C91" t="s">
        <v>22</v>
      </c>
      <c r="D91" t="s">
        <v>38</v>
      </c>
      <c r="E91">
        <v>3</v>
      </c>
      <c r="F91" t="s">
        <v>179</v>
      </c>
      <c r="G91" t="s">
        <v>180</v>
      </c>
      <c r="H91" t="s">
        <v>26</v>
      </c>
      <c r="I91" t="s">
        <v>27</v>
      </c>
      <c r="J91" t="s">
        <v>28</v>
      </c>
      <c r="K91">
        <v>1.7110000000000001</v>
      </c>
      <c r="L91">
        <v>1.329</v>
      </c>
      <c r="M91" s="2" t="s">
        <v>29</v>
      </c>
      <c r="N91" s="2" t="s">
        <v>29</v>
      </c>
      <c r="O91">
        <v>0.33100000000000002</v>
      </c>
      <c r="P91">
        <v>4.3999999999999997E-2</v>
      </c>
      <c r="Q91">
        <v>4.2000000000000003E-2</v>
      </c>
      <c r="R91">
        <v>2.0710000000000002</v>
      </c>
      <c r="S91" t="s">
        <v>153</v>
      </c>
      <c r="T91" s="2"/>
    </row>
    <row r="92" spans="1:23" x14ac:dyDescent="0.45">
      <c r="A92" t="s">
        <v>150</v>
      </c>
      <c r="B92" t="s">
        <v>21</v>
      </c>
      <c r="C92" t="s">
        <v>22</v>
      </c>
      <c r="D92" t="s">
        <v>38</v>
      </c>
      <c r="E92">
        <v>3</v>
      </c>
      <c r="F92" t="s">
        <v>181</v>
      </c>
      <c r="G92" t="s">
        <v>182</v>
      </c>
      <c r="H92" t="s">
        <v>26</v>
      </c>
      <c r="I92" t="s">
        <v>32</v>
      </c>
      <c r="J92" t="s">
        <v>28</v>
      </c>
      <c r="K92">
        <v>1.5249999999999999</v>
      </c>
      <c r="L92">
        <v>1.268</v>
      </c>
      <c r="M92" s="2" t="s">
        <v>29</v>
      </c>
      <c r="N92" s="2" t="s">
        <v>29</v>
      </c>
      <c r="O92">
        <v>0.18099999999999999</v>
      </c>
      <c r="P92" t="s">
        <v>29</v>
      </c>
      <c r="Q92" t="s">
        <v>29</v>
      </c>
      <c r="R92" t="s">
        <v>29</v>
      </c>
      <c r="S92" t="s">
        <v>153</v>
      </c>
      <c r="T92" s="2"/>
    </row>
    <row r="93" spans="1:23" x14ac:dyDescent="0.45">
      <c r="A93" t="s">
        <v>150</v>
      </c>
      <c r="B93" t="s">
        <v>21</v>
      </c>
      <c r="C93" t="s">
        <v>22</v>
      </c>
      <c r="D93" t="s">
        <v>41</v>
      </c>
      <c r="E93">
        <v>3</v>
      </c>
      <c r="F93" t="s">
        <v>183</v>
      </c>
      <c r="G93" t="s">
        <v>184</v>
      </c>
      <c r="H93" t="s">
        <v>32</v>
      </c>
      <c r="I93" t="s">
        <v>27</v>
      </c>
      <c r="J93" t="s">
        <v>28</v>
      </c>
      <c r="K93">
        <v>1.8380000000000001</v>
      </c>
      <c r="L93">
        <v>1.0189999999999999</v>
      </c>
      <c r="M93" s="2" t="s">
        <v>29</v>
      </c>
      <c r="N93" s="2" t="s">
        <v>29</v>
      </c>
      <c r="O93">
        <v>0.29099999999999998</v>
      </c>
      <c r="P93">
        <v>0.05</v>
      </c>
      <c r="Q93">
        <v>5.1999999999999998E-2</v>
      </c>
      <c r="R93">
        <v>1.429</v>
      </c>
      <c r="S93" t="s">
        <v>153</v>
      </c>
      <c r="T93" s="2"/>
    </row>
    <row r="94" spans="1:23" x14ac:dyDescent="0.45">
      <c r="A94" t="s">
        <v>150</v>
      </c>
      <c r="B94" t="s">
        <v>21</v>
      </c>
      <c r="C94" t="s">
        <v>22</v>
      </c>
      <c r="D94" t="s">
        <v>41</v>
      </c>
      <c r="E94">
        <v>3</v>
      </c>
      <c r="F94" t="s">
        <v>185</v>
      </c>
      <c r="G94" t="s">
        <v>174</v>
      </c>
      <c r="H94" t="s">
        <v>32</v>
      </c>
      <c r="I94" t="s">
        <v>32</v>
      </c>
      <c r="J94" t="s">
        <v>28</v>
      </c>
      <c r="K94">
        <v>2.8290000000000002</v>
      </c>
      <c r="L94">
        <v>1.1479999999999999</v>
      </c>
      <c r="M94" s="2" t="s">
        <v>29</v>
      </c>
      <c r="N94" s="2" t="s">
        <v>29</v>
      </c>
      <c r="O94">
        <v>0.156</v>
      </c>
      <c r="P94" t="s">
        <v>29</v>
      </c>
      <c r="Q94" t="s">
        <v>29</v>
      </c>
      <c r="R94" t="s">
        <v>29</v>
      </c>
      <c r="S94" t="s">
        <v>153</v>
      </c>
      <c r="T94" s="2"/>
    </row>
    <row r="95" spans="1:23" x14ac:dyDescent="0.45">
      <c r="A95" t="s">
        <v>150</v>
      </c>
      <c r="B95" t="s">
        <v>21</v>
      </c>
      <c r="C95" t="s">
        <v>22</v>
      </c>
      <c r="D95" t="s">
        <v>42</v>
      </c>
      <c r="E95">
        <v>4</v>
      </c>
      <c r="F95" t="s">
        <v>186</v>
      </c>
      <c r="G95" t="s">
        <v>187</v>
      </c>
      <c r="H95" t="s">
        <v>26</v>
      </c>
      <c r="I95" t="s">
        <v>27</v>
      </c>
      <c r="J95" t="s">
        <v>121</v>
      </c>
      <c r="K95">
        <v>2.06</v>
      </c>
      <c r="L95" s="2" t="s">
        <v>29</v>
      </c>
      <c r="M95" s="3">
        <v>6.9029999999999996</v>
      </c>
      <c r="N95" s="3">
        <v>6.9930000000000003</v>
      </c>
      <c r="O95">
        <v>0.09</v>
      </c>
      <c r="P95">
        <v>4.1000000000000002E-2</v>
      </c>
      <c r="Q95">
        <v>4.4999999999999998E-2</v>
      </c>
      <c r="R95">
        <v>1.9279999999999999</v>
      </c>
      <c r="S95" t="s">
        <v>153</v>
      </c>
      <c r="T95" s="2">
        <f t="shared" si="1"/>
        <v>9.0000000000000746E-2</v>
      </c>
    </row>
    <row r="96" spans="1:23" x14ac:dyDescent="0.45">
      <c r="A96" t="s">
        <v>150</v>
      </c>
      <c r="B96" t="s">
        <v>21</v>
      </c>
      <c r="C96" t="s">
        <v>22</v>
      </c>
      <c r="D96" t="s">
        <v>42</v>
      </c>
      <c r="E96">
        <v>4</v>
      </c>
      <c r="F96" t="s">
        <v>188</v>
      </c>
      <c r="G96" t="s">
        <v>178</v>
      </c>
      <c r="H96" t="s">
        <v>26</v>
      </c>
      <c r="I96" t="s">
        <v>32</v>
      </c>
      <c r="J96" t="s">
        <v>121</v>
      </c>
      <c r="K96">
        <v>2.1019999999999999</v>
      </c>
      <c r="L96" s="2" t="s">
        <v>29</v>
      </c>
      <c r="M96" s="3">
        <v>6.9240000000000004</v>
      </c>
      <c r="N96" s="3">
        <v>7.0730000000000004</v>
      </c>
      <c r="O96">
        <v>0.14899999999999999</v>
      </c>
      <c r="P96" t="s">
        <v>29</v>
      </c>
      <c r="Q96" t="s">
        <v>29</v>
      </c>
      <c r="R96" t="s">
        <v>29</v>
      </c>
      <c r="S96" t="s">
        <v>153</v>
      </c>
      <c r="T96" s="2">
        <f t="shared" si="1"/>
        <v>0.14900000000000002</v>
      </c>
    </row>
    <row r="97" spans="1:25" x14ac:dyDescent="0.45">
      <c r="A97" t="s">
        <v>150</v>
      </c>
      <c r="B97" t="s">
        <v>21</v>
      </c>
      <c r="C97" t="s">
        <v>22</v>
      </c>
      <c r="D97" t="s">
        <v>42</v>
      </c>
      <c r="E97">
        <v>4</v>
      </c>
      <c r="F97" t="s">
        <v>189</v>
      </c>
      <c r="G97" t="s">
        <v>190</v>
      </c>
      <c r="H97" t="s">
        <v>26</v>
      </c>
      <c r="I97" t="s">
        <v>27</v>
      </c>
      <c r="J97" t="s">
        <v>28</v>
      </c>
      <c r="K97">
        <v>0.94599999999999995</v>
      </c>
      <c r="L97">
        <v>0.83399999999999996</v>
      </c>
      <c r="M97" s="2" t="s">
        <v>29</v>
      </c>
      <c r="N97" s="2" t="s">
        <v>29</v>
      </c>
      <c r="O97">
        <v>0.25</v>
      </c>
      <c r="P97">
        <v>4.2000000000000003E-2</v>
      </c>
      <c r="Q97">
        <v>4.2999999999999997E-2</v>
      </c>
      <c r="R97">
        <v>1.8740000000000001</v>
      </c>
      <c r="S97" t="s">
        <v>153</v>
      </c>
      <c r="T97" s="2"/>
    </row>
    <row r="98" spans="1:25" x14ac:dyDescent="0.45">
      <c r="A98" t="s">
        <v>150</v>
      </c>
      <c r="B98" t="s">
        <v>21</v>
      </c>
      <c r="C98" t="s">
        <v>22</v>
      </c>
      <c r="D98" t="s">
        <v>42</v>
      </c>
      <c r="E98">
        <v>4</v>
      </c>
      <c r="F98" t="s">
        <v>191</v>
      </c>
      <c r="G98" t="s">
        <v>192</v>
      </c>
      <c r="H98" t="s">
        <v>26</v>
      </c>
      <c r="I98" t="s">
        <v>32</v>
      </c>
      <c r="J98" t="s">
        <v>28</v>
      </c>
      <c r="K98">
        <v>1.0189999999999999</v>
      </c>
      <c r="L98">
        <v>0.98399999999999999</v>
      </c>
      <c r="M98" s="2" t="s">
        <v>29</v>
      </c>
      <c r="N98" s="2" t="s">
        <v>29</v>
      </c>
      <c r="O98">
        <v>0.29499999999999998</v>
      </c>
      <c r="P98" t="s">
        <v>29</v>
      </c>
      <c r="Q98" t="s">
        <v>29</v>
      </c>
      <c r="R98" t="s">
        <v>29</v>
      </c>
      <c r="S98" t="s">
        <v>153</v>
      </c>
      <c r="T98" s="2"/>
    </row>
    <row r="99" spans="1:25" x14ac:dyDescent="0.45">
      <c r="A99" t="s">
        <v>150</v>
      </c>
      <c r="B99" t="s">
        <v>21</v>
      </c>
      <c r="C99" t="s">
        <v>22</v>
      </c>
      <c r="D99" t="s">
        <v>45</v>
      </c>
      <c r="E99">
        <v>4</v>
      </c>
      <c r="F99" t="s">
        <v>193</v>
      </c>
      <c r="G99" t="s">
        <v>184</v>
      </c>
      <c r="H99" t="s">
        <v>32</v>
      </c>
      <c r="I99" t="s">
        <v>27</v>
      </c>
      <c r="J99" t="s">
        <v>28</v>
      </c>
      <c r="K99">
        <v>2.5619999999999998</v>
      </c>
      <c r="L99">
        <v>0.81100000000000005</v>
      </c>
      <c r="M99" s="2" t="s">
        <v>29</v>
      </c>
      <c r="N99" s="2" t="s">
        <v>29</v>
      </c>
      <c r="O99">
        <v>0.14399999999999999</v>
      </c>
      <c r="P99">
        <v>3.6999999999999998E-2</v>
      </c>
      <c r="Q99">
        <v>0.04</v>
      </c>
      <c r="R99">
        <v>2.016</v>
      </c>
      <c r="S99" t="s">
        <v>153</v>
      </c>
      <c r="T99" s="2"/>
    </row>
    <row r="100" spans="1:25" x14ac:dyDescent="0.45">
      <c r="A100" t="s">
        <v>150</v>
      </c>
      <c r="B100" t="s">
        <v>21</v>
      </c>
      <c r="C100" t="s">
        <v>22</v>
      </c>
      <c r="D100" t="s">
        <v>45</v>
      </c>
      <c r="E100">
        <v>4</v>
      </c>
      <c r="F100" t="s">
        <v>194</v>
      </c>
      <c r="G100" t="s">
        <v>195</v>
      </c>
      <c r="H100" t="s">
        <v>32</v>
      </c>
      <c r="I100" t="s">
        <v>32</v>
      </c>
      <c r="J100" t="s">
        <v>28</v>
      </c>
      <c r="K100">
        <v>2.004</v>
      </c>
      <c r="L100">
        <v>0.96299999999999997</v>
      </c>
      <c r="M100" s="2" t="s">
        <v>29</v>
      </c>
      <c r="N100" s="2" t="s">
        <v>29</v>
      </c>
      <c r="O100">
        <v>0.20899999999999999</v>
      </c>
      <c r="P100" t="s">
        <v>29</v>
      </c>
      <c r="Q100" t="s">
        <v>29</v>
      </c>
      <c r="R100" t="s">
        <v>29</v>
      </c>
      <c r="S100" t="s">
        <v>153</v>
      </c>
      <c r="T100" s="2"/>
    </row>
    <row r="101" spans="1:25" x14ac:dyDescent="0.45">
      <c r="A101" t="s">
        <v>150</v>
      </c>
      <c r="B101" t="s">
        <v>21</v>
      </c>
      <c r="C101" t="s">
        <v>22</v>
      </c>
      <c r="D101" t="s">
        <v>47</v>
      </c>
      <c r="E101">
        <v>5</v>
      </c>
      <c r="F101" t="s">
        <v>196</v>
      </c>
      <c r="G101" t="s">
        <v>197</v>
      </c>
      <c r="H101" t="s">
        <v>26</v>
      </c>
      <c r="I101" t="s">
        <v>27</v>
      </c>
      <c r="J101" t="s">
        <v>121</v>
      </c>
      <c r="K101">
        <v>2.0819999999999999</v>
      </c>
      <c r="L101" s="2" t="s">
        <v>29</v>
      </c>
      <c r="M101" s="3">
        <v>6.97</v>
      </c>
      <c r="N101" s="3">
        <v>7.0410000000000004</v>
      </c>
      <c r="O101">
        <v>7.0999999999999994E-2</v>
      </c>
      <c r="P101">
        <v>5.2999999999999999E-2</v>
      </c>
      <c r="Q101">
        <v>5.3999999999999999E-2</v>
      </c>
      <c r="R101">
        <v>2.3690000000000002</v>
      </c>
      <c r="S101" t="s">
        <v>153</v>
      </c>
      <c r="T101" s="2">
        <f t="shared" si="1"/>
        <v>7.1000000000000618E-2</v>
      </c>
    </row>
    <row r="102" spans="1:25" x14ac:dyDescent="0.45">
      <c r="A102" t="s">
        <v>150</v>
      </c>
      <c r="B102" t="s">
        <v>21</v>
      </c>
      <c r="C102" t="s">
        <v>22</v>
      </c>
      <c r="D102" t="s">
        <v>47</v>
      </c>
      <c r="E102">
        <v>5</v>
      </c>
      <c r="F102" t="s">
        <v>198</v>
      </c>
      <c r="G102" t="s">
        <v>199</v>
      </c>
      <c r="H102" t="s">
        <v>26</v>
      </c>
      <c r="I102" t="s">
        <v>32</v>
      </c>
      <c r="J102" t="s">
        <v>121</v>
      </c>
      <c r="K102">
        <v>1.9650000000000001</v>
      </c>
      <c r="L102" s="2" t="s">
        <v>29</v>
      </c>
      <c r="M102" s="3">
        <v>6.9850000000000003</v>
      </c>
      <c r="N102" s="3">
        <v>7.96</v>
      </c>
      <c r="O102" s="7">
        <v>0.97499999999999998</v>
      </c>
      <c r="P102" t="s">
        <v>29</v>
      </c>
      <c r="Q102" t="s">
        <v>29</v>
      </c>
      <c r="R102" t="s">
        <v>29</v>
      </c>
      <c r="S102" t="s">
        <v>153</v>
      </c>
      <c r="T102" s="6">
        <f t="shared" si="1"/>
        <v>0.97499999999999964</v>
      </c>
      <c r="V102" s="8" t="s">
        <v>335</v>
      </c>
      <c r="W102" s="8"/>
      <c r="X102" s="8"/>
      <c r="Y102" s="8"/>
    </row>
    <row r="103" spans="1:25" x14ac:dyDescent="0.45">
      <c r="A103" t="s">
        <v>150</v>
      </c>
      <c r="B103" t="s">
        <v>21</v>
      </c>
      <c r="C103" t="s">
        <v>22</v>
      </c>
      <c r="D103" t="s">
        <v>47</v>
      </c>
      <c r="E103">
        <v>5</v>
      </c>
      <c r="F103" t="s">
        <v>200</v>
      </c>
      <c r="G103" t="s">
        <v>201</v>
      </c>
      <c r="H103" t="s">
        <v>26</v>
      </c>
      <c r="I103" t="s">
        <v>27</v>
      </c>
      <c r="J103" t="s">
        <v>28</v>
      </c>
      <c r="K103">
        <v>1.778</v>
      </c>
      <c r="L103">
        <v>1.08</v>
      </c>
      <c r="M103" s="2" t="s">
        <v>29</v>
      </c>
      <c r="N103" s="2" t="s">
        <v>29</v>
      </c>
      <c r="O103">
        <v>0.27300000000000002</v>
      </c>
      <c r="P103">
        <v>5.2999999999999999E-2</v>
      </c>
      <c r="Q103">
        <v>5.1999999999999998E-2</v>
      </c>
      <c r="R103">
        <v>2.1749999999999998</v>
      </c>
      <c r="S103" t="s">
        <v>153</v>
      </c>
      <c r="T103" s="2"/>
    </row>
    <row r="104" spans="1:25" x14ac:dyDescent="0.45">
      <c r="A104" t="s">
        <v>150</v>
      </c>
      <c r="B104" t="s">
        <v>21</v>
      </c>
      <c r="C104" t="s">
        <v>22</v>
      </c>
      <c r="D104" t="s">
        <v>47</v>
      </c>
      <c r="E104">
        <v>5</v>
      </c>
      <c r="F104" t="s">
        <v>202</v>
      </c>
      <c r="G104" t="s">
        <v>203</v>
      </c>
      <c r="H104" t="s">
        <v>26</v>
      </c>
      <c r="I104" t="s">
        <v>32</v>
      </c>
      <c r="J104" t="s">
        <v>28</v>
      </c>
      <c r="K104">
        <v>1.5409999999999999</v>
      </c>
      <c r="L104">
        <v>1.0640000000000001</v>
      </c>
      <c r="M104" s="2" t="s">
        <v>29</v>
      </c>
      <c r="N104" s="2" t="s">
        <v>29</v>
      </c>
      <c r="O104">
        <v>0.17499999999999999</v>
      </c>
      <c r="P104" t="s">
        <v>29</v>
      </c>
      <c r="Q104" t="s">
        <v>29</v>
      </c>
      <c r="R104" t="s">
        <v>29</v>
      </c>
      <c r="S104" t="s">
        <v>153</v>
      </c>
      <c r="T104" s="2"/>
    </row>
    <row r="105" spans="1:25" x14ac:dyDescent="0.45">
      <c r="A105" t="s">
        <v>150</v>
      </c>
      <c r="B105" t="s">
        <v>21</v>
      </c>
      <c r="C105" t="s">
        <v>22</v>
      </c>
      <c r="D105" t="s">
        <v>50</v>
      </c>
      <c r="E105">
        <v>5</v>
      </c>
      <c r="F105" t="s">
        <v>204</v>
      </c>
      <c r="G105" t="s">
        <v>205</v>
      </c>
      <c r="H105" t="s">
        <v>32</v>
      </c>
      <c r="I105" t="s">
        <v>27</v>
      </c>
      <c r="J105" t="s">
        <v>28</v>
      </c>
      <c r="K105">
        <v>1.548</v>
      </c>
      <c r="L105">
        <v>1.0049999999999999</v>
      </c>
      <c r="M105" s="2" t="s">
        <v>29</v>
      </c>
      <c r="N105" s="2" t="s">
        <v>29</v>
      </c>
      <c r="O105">
        <v>0.28100000000000003</v>
      </c>
      <c r="P105">
        <v>3.7999999999999999E-2</v>
      </c>
      <c r="Q105">
        <v>3.6999999999999998E-2</v>
      </c>
      <c r="R105">
        <v>1.744</v>
      </c>
      <c r="S105" t="s">
        <v>153</v>
      </c>
      <c r="T105" s="2"/>
    </row>
    <row r="106" spans="1:25" x14ac:dyDescent="0.45">
      <c r="A106" t="s">
        <v>150</v>
      </c>
      <c r="B106" t="s">
        <v>21</v>
      </c>
      <c r="C106" t="s">
        <v>22</v>
      </c>
      <c r="D106" t="s">
        <v>50</v>
      </c>
      <c r="E106">
        <v>5</v>
      </c>
      <c r="F106" t="s">
        <v>206</v>
      </c>
      <c r="G106" t="s">
        <v>207</v>
      </c>
      <c r="H106" t="s">
        <v>32</v>
      </c>
      <c r="I106" t="s">
        <v>32</v>
      </c>
      <c r="J106" t="s">
        <v>28</v>
      </c>
      <c r="K106">
        <v>1.2190000000000001</v>
      </c>
      <c r="L106">
        <v>0.86499999999999999</v>
      </c>
      <c r="M106" s="2" t="s">
        <v>29</v>
      </c>
      <c r="N106" s="2" t="s">
        <v>29</v>
      </c>
      <c r="O106">
        <v>0.186</v>
      </c>
      <c r="P106" t="s">
        <v>29</v>
      </c>
      <c r="Q106" t="s">
        <v>29</v>
      </c>
      <c r="R106" t="s">
        <v>29</v>
      </c>
      <c r="S106" t="s">
        <v>153</v>
      </c>
      <c r="T106" s="2"/>
    </row>
    <row r="107" spans="1:25" x14ac:dyDescent="0.45">
      <c r="A107" t="s">
        <v>150</v>
      </c>
      <c r="B107" t="s">
        <v>21</v>
      </c>
      <c r="C107" t="s">
        <v>22</v>
      </c>
      <c r="D107" t="s">
        <v>51</v>
      </c>
      <c r="E107">
        <v>6</v>
      </c>
      <c r="F107" t="s">
        <v>208</v>
      </c>
      <c r="G107" t="s">
        <v>209</v>
      </c>
      <c r="H107" t="s">
        <v>26</v>
      </c>
      <c r="I107" t="s">
        <v>27</v>
      </c>
      <c r="J107" t="s">
        <v>121</v>
      </c>
      <c r="K107">
        <v>1.923</v>
      </c>
      <c r="L107" s="2" t="s">
        <v>29</v>
      </c>
      <c r="M107" s="3">
        <v>6.9589999999999996</v>
      </c>
      <c r="N107" s="3">
        <v>7.0359999999999996</v>
      </c>
      <c r="O107">
        <v>7.6999999999999999E-2</v>
      </c>
      <c r="P107">
        <v>4.3999999999999997E-2</v>
      </c>
      <c r="Q107">
        <v>4.8000000000000001E-2</v>
      </c>
      <c r="R107">
        <v>1.917</v>
      </c>
      <c r="S107" t="s">
        <v>153</v>
      </c>
      <c r="T107" s="2">
        <f t="shared" si="1"/>
        <v>7.6999999999999957E-2</v>
      </c>
    </row>
    <row r="108" spans="1:25" x14ac:dyDescent="0.45">
      <c r="A108" t="s">
        <v>150</v>
      </c>
      <c r="B108" t="s">
        <v>21</v>
      </c>
      <c r="C108" t="s">
        <v>22</v>
      </c>
      <c r="D108" t="s">
        <v>51</v>
      </c>
      <c r="E108">
        <v>6</v>
      </c>
      <c r="F108" t="s">
        <v>210</v>
      </c>
      <c r="G108" t="s">
        <v>199</v>
      </c>
      <c r="H108" t="s">
        <v>26</v>
      </c>
      <c r="I108" t="s">
        <v>32</v>
      </c>
      <c r="J108" t="s">
        <v>121</v>
      </c>
      <c r="K108">
        <v>1.75</v>
      </c>
      <c r="L108" s="2" t="s">
        <v>29</v>
      </c>
      <c r="M108" s="3">
        <v>6.9569999999999999</v>
      </c>
      <c r="N108" s="3">
        <v>7.0830000000000002</v>
      </c>
      <c r="O108">
        <v>0.126</v>
      </c>
      <c r="P108" t="s">
        <v>29</v>
      </c>
      <c r="Q108" t="s">
        <v>29</v>
      </c>
      <c r="R108" t="s">
        <v>29</v>
      </c>
      <c r="S108" t="s">
        <v>153</v>
      </c>
      <c r="T108" s="2">
        <f>N108-M108</f>
        <v>0.12600000000000033</v>
      </c>
    </row>
    <row r="109" spans="1:25" x14ac:dyDescent="0.45">
      <c r="A109" t="s">
        <v>150</v>
      </c>
      <c r="B109" t="s">
        <v>21</v>
      </c>
      <c r="C109" t="s">
        <v>22</v>
      </c>
      <c r="D109" t="s">
        <v>51</v>
      </c>
      <c r="E109">
        <v>6</v>
      </c>
      <c r="F109" t="s">
        <v>211</v>
      </c>
      <c r="G109" t="s">
        <v>212</v>
      </c>
      <c r="H109" t="s">
        <v>26</v>
      </c>
      <c r="I109" t="s">
        <v>27</v>
      </c>
      <c r="J109" t="s">
        <v>28</v>
      </c>
      <c r="K109">
        <v>1.454</v>
      </c>
      <c r="L109">
        <v>0.97299999999999998</v>
      </c>
      <c r="M109" s="2" t="s">
        <v>29</v>
      </c>
      <c r="N109" s="2" t="s">
        <v>29</v>
      </c>
      <c r="O109">
        <v>0.111</v>
      </c>
      <c r="P109">
        <v>7.0999999999999994E-2</v>
      </c>
      <c r="Q109">
        <v>7.4999999999999997E-2</v>
      </c>
      <c r="R109">
        <v>2.39</v>
      </c>
      <c r="S109" t="s">
        <v>153</v>
      </c>
      <c r="T109" s="2"/>
    </row>
    <row r="110" spans="1:25" x14ac:dyDescent="0.45">
      <c r="A110" t="s">
        <v>150</v>
      </c>
      <c r="B110" t="s">
        <v>21</v>
      </c>
      <c r="C110" t="s">
        <v>22</v>
      </c>
      <c r="D110" t="s">
        <v>51</v>
      </c>
      <c r="E110">
        <v>6</v>
      </c>
      <c r="F110" t="s">
        <v>213</v>
      </c>
      <c r="G110" t="s">
        <v>203</v>
      </c>
      <c r="H110" t="s">
        <v>26</v>
      </c>
      <c r="I110" t="s">
        <v>32</v>
      </c>
      <c r="J110" t="s">
        <v>28</v>
      </c>
      <c r="K110">
        <v>1.2270000000000001</v>
      </c>
      <c r="L110">
        <v>0.997</v>
      </c>
      <c r="M110" s="2" t="s">
        <v>29</v>
      </c>
      <c r="N110" s="2" t="s">
        <v>29</v>
      </c>
      <c r="O110">
        <v>0.127</v>
      </c>
      <c r="P110" t="s">
        <v>29</v>
      </c>
      <c r="Q110" t="s">
        <v>29</v>
      </c>
      <c r="R110" t="s">
        <v>29</v>
      </c>
      <c r="S110" t="s">
        <v>153</v>
      </c>
      <c r="T110" s="2"/>
    </row>
    <row r="111" spans="1:25" x14ac:dyDescent="0.45">
      <c r="A111" t="s">
        <v>150</v>
      </c>
      <c r="B111" t="s">
        <v>21</v>
      </c>
      <c r="C111" t="s">
        <v>22</v>
      </c>
      <c r="D111" t="s">
        <v>54</v>
      </c>
      <c r="E111">
        <v>6</v>
      </c>
      <c r="F111" t="s">
        <v>214</v>
      </c>
      <c r="G111" t="s">
        <v>205</v>
      </c>
      <c r="H111" t="s">
        <v>32</v>
      </c>
      <c r="I111" t="s">
        <v>27</v>
      </c>
      <c r="J111" t="s">
        <v>28</v>
      </c>
      <c r="K111">
        <v>2.3039999999999998</v>
      </c>
      <c r="L111">
        <v>1.1879999999999999</v>
      </c>
      <c r="M111" s="2" t="s">
        <v>29</v>
      </c>
      <c r="N111" s="2" t="s">
        <v>29</v>
      </c>
      <c r="O111">
        <v>0.187</v>
      </c>
      <c r="P111">
        <v>3.5999999999999997E-2</v>
      </c>
      <c r="Q111">
        <v>3.5999999999999997E-2</v>
      </c>
      <c r="R111">
        <v>1.8420000000000001</v>
      </c>
      <c r="S111" t="s">
        <v>153</v>
      </c>
      <c r="T111" s="2"/>
    </row>
    <row r="112" spans="1:25" x14ac:dyDescent="0.45">
      <c r="A112" t="s">
        <v>150</v>
      </c>
      <c r="B112" t="s">
        <v>21</v>
      </c>
      <c r="C112" t="s">
        <v>22</v>
      </c>
      <c r="D112" t="s">
        <v>54</v>
      </c>
      <c r="E112">
        <v>6</v>
      </c>
      <c r="F112" t="s">
        <v>215</v>
      </c>
      <c r="G112" t="s">
        <v>216</v>
      </c>
      <c r="H112" t="s">
        <v>32</v>
      </c>
      <c r="I112" t="s">
        <v>32</v>
      </c>
      <c r="J112" t="s">
        <v>28</v>
      </c>
      <c r="K112">
        <v>1.3280000000000001</v>
      </c>
      <c r="L112">
        <v>0.85899999999999999</v>
      </c>
      <c r="M112" s="2" t="s">
        <v>29</v>
      </c>
      <c r="N112" s="2" t="s">
        <v>29</v>
      </c>
      <c r="O112">
        <v>0.11600000000000001</v>
      </c>
      <c r="P112" t="s">
        <v>29</v>
      </c>
      <c r="Q112" t="s">
        <v>29</v>
      </c>
      <c r="R112" t="s">
        <v>29</v>
      </c>
      <c r="S112" t="s">
        <v>153</v>
      </c>
      <c r="T112" s="2"/>
    </row>
    <row r="113" spans="1:31" x14ac:dyDescent="0.45">
      <c r="A113" t="s">
        <v>150</v>
      </c>
      <c r="B113" t="s">
        <v>21</v>
      </c>
      <c r="C113" t="s">
        <v>22</v>
      </c>
      <c r="D113" t="s">
        <v>56</v>
      </c>
      <c r="E113">
        <v>7</v>
      </c>
      <c r="F113" t="s">
        <v>217</v>
      </c>
      <c r="G113" t="s">
        <v>218</v>
      </c>
      <c r="H113" t="s">
        <v>26</v>
      </c>
      <c r="I113" t="s">
        <v>27</v>
      </c>
      <c r="J113" t="s">
        <v>121</v>
      </c>
      <c r="K113">
        <v>2.048</v>
      </c>
      <c r="L113" s="2" t="s">
        <v>29</v>
      </c>
      <c r="M113" s="3">
        <v>6.9370000000000003</v>
      </c>
      <c r="N113" s="3">
        <v>7.03</v>
      </c>
      <c r="O113">
        <v>9.2999999999999999E-2</v>
      </c>
      <c r="P113">
        <v>4.3999999999999997E-2</v>
      </c>
      <c r="Q113">
        <v>4.7E-2</v>
      </c>
      <c r="R113">
        <v>2.137</v>
      </c>
      <c r="S113" t="s">
        <v>153</v>
      </c>
      <c r="T113" s="2">
        <f t="shared" ref="T113:T120" si="2">N113-M113</f>
        <v>9.2999999999999972E-2</v>
      </c>
    </row>
    <row r="114" spans="1:31" x14ac:dyDescent="0.45">
      <c r="A114" t="s">
        <v>150</v>
      </c>
      <c r="B114" t="s">
        <v>21</v>
      </c>
      <c r="C114" t="s">
        <v>22</v>
      </c>
      <c r="D114" t="s">
        <v>56</v>
      </c>
      <c r="E114">
        <v>7</v>
      </c>
      <c r="F114" t="s">
        <v>219</v>
      </c>
      <c r="G114" t="s">
        <v>220</v>
      </c>
      <c r="H114" t="s">
        <v>26</v>
      </c>
      <c r="I114" t="s">
        <v>32</v>
      </c>
      <c r="J114" t="s">
        <v>121</v>
      </c>
      <c r="K114">
        <v>1.94</v>
      </c>
      <c r="L114" s="2" t="s">
        <v>29</v>
      </c>
      <c r="M114" s="3">
        <v>7.0209999999999999</v>
      </c>
      <c r="N114" s="3">
        <v>7.1459999999999999</v>
      </c>
      <c r="O114">
        <v>0.125</v>
      </c>
      <c r="P114" t="s">
        <v>29</v>
      </c>
      <c r="Q114" t="s">
        <v>29</v>
      </c>
      <c r="R114" t="s">
        <v>29</v>
      </c>
      <c r="S114" t="s">
        <v>153</v>
      </c>
      <c r="T114" s="2">
        <f t="shared" si="2"/>
        <v>0.125</v>
      </c>
    </row>
    <row r="115" spans="1:31" x14ac:dyDescent="0.45">
      <c r="A115" t="s">
        <v>150</v>
      </c>
      <c r="B115" t="s">
        <v>21</v>
      </c>
      <c r="C115" t="s">
        <v>22</v>
      </c>
      <c r="D115" t="s">
        <v>56</v>
      </c>
      <c r="E115">
        <v>7</v>
      </c>
      <c r="F115" t="s">
        <v>221</v>
      </c>
      <c r="G115" t="s">
        <v>222</v>
      </c>
      <c r="H115" t="s">
        <v>26</v>
      </c>
      <c r="I115" t="s">
        <v>27</v>
      </c>
      <c r="J115" t="s">
        <v>28</v>
      </c>
      <c r="K115">
        <v>0.81499999999999995</v>
      </c>
      <c r="L115">
        <v>0.995</v>
      </c>
      <c r="M115" s="2" t="s">
        <v>29</v>
      </c>
      <c r="N115" s="2" t="s">
        <v>29</v>
      </c>
      <c r="O115">
        <v>0.22500000000000001</v>
      </c>
      <c r="P115">
        <v>7.2999999999999995E-2</v>
      </c>
      <c r="Q115">
        <v>7.4999999999999997E-2</v>
      </c>
      <c r="R115">
        <v>2.41</v>
      </c>
      <c r="S115" t="s">
        <v>153</v>
      </c>
      <c r="T115" s="2"/>
    </row>
    <row r="116" spans="1:31" x14ac:dyDescent="0.45">
      <c r="A116" t="s">
        <v>150</v>
      </c>
      <c r="B116" t="s">
        <v>21</v>
      </c>
      <c r="C116" t="s">
        <v>22</v>
      </c>
      <c r="D116" t="s">
        <v>56</v>
      </c>
      <c r="E116">
        <v>7</v>
      </c>
      <c r="F116" t="s">
        <v>223</v>
      </c>
      <c r="G116" t="s">
        <v>224</v>
      </c>
      <c r="H116" t="s">
        <v>26</v>
      </c>
      <c r="I116" t="s">
        <v>32</v>
      </c>
      <c r="J116" t="s">
        <v>28</v>
      </c>
      <c r="K116">
        <v>1.2470000000000001</v>
      </c>
      <c r="L116">
        <v>0.98</v>
      </c>
      <c r="M116" s="2" t="s">
        <v>29</v>
      </c>
      <c r="N116" s="2" t="s">
        <v>29</v>
      </c>
      <c r="O116">
        <v>0.157</v>
      </c>
      <c r="P116" t="s">
        <v>29</v>
      </c>
      <c r="Q116" t="s">
        <v>29</v>
      </c>
      <c r="R116" t="s">
        <v>29</v>
      </c>
      <c r="S116" t="s">
        <v>153</v>
      </c>
      <c r="T116" s="2"/>
    </row>
    <row r="117" spans="1:31" x14ac:dyDescent="0.45">
      <c r="A117" t="s">
        <v>150</v>
      </c>
      <c r="B117" t="s">
        <v>21</v>
      </c>
      <c r="C117" t="s">
        <v>22</v>
      </c>
      <c r="D117" t="s">
        <v>58</v>
      </c>
      <c r="E117">
        <v>7</v>
      </c>
      <c r="F117" t="s">
        <v>225</v>
      </c>
      <c r="G117" t="s">
        <v>226</v>
      </c>
      <c r="H117" t="s">
        <v>32</v>
      </c>
      <c r="I117" t="s">
        <v>27</v>
      </c>
      <c r="J117" t="s">
        <v>28</v>
      </c>
      <c r="K117">
        <v>1.2589999999999999</v>
      </c>
      <c r="L117">
        <v>0.91600000000000004</v>
      </c>
      <c r="M117" s="2" t="s">
        <v>29</v>
      </c>
      <c r="N117" s="2" t="s">
        <v>29</v>
      </c>
      <c r="O117">
        <v>0.26500000000000001</v>
      </c>
      <c r="P117">
        <v>4.2000000000000003E-2</v>
      </c>
      <c r="Q117">
        <v>0.04</v>
      </c>
      <c r="R117">
        <v>1.7070000000000001</v>
      </c>
      <c r="S117" t="s">
        <v>153</v>
      </c>
      <c r="T117" s="2"/>
    </row>
    <row r="118" spans="1:31" x14ac:dyDescent="0.45">
      <c r="A118" t="s">
        <v>150</v>
      </c>
      <c r="B118" t="s">
        <v>21</v>
      </c>
      <c r="C118" t="s">
        <v>22</v>
      </c>
      <c r="D118" t="s">
        <v>58</v>
      </c>
      <c r="E118">
        <v>7</v>
      </c>
      <c r="F118" t="s">
        <v>227</v>
      </c>
      <c r="G118" t="s">
        <v>216</v>
      </c>
      <c r="H118" t="s">
        <v>32</v>
      </c>
      <c r="I118" t="s">
        <v>32</v>
      </c>
      <c r="J118" t="s">
        <v>28</v>
      </c>
      <c r="K118">
        <v>1.732</v>
      </c>
      <c r="L118">
        <v>1.075</v>
      </c>
      <c r="M118" s="2" t="s">
        <v>29</v>
      </c>
      <c r="N118" s="2" t="s">
        <v>29</v>
      </c>
      <c r="O118">
        <v>0.158</v>
      </c>
      <c r="P118" t="s">
        <v>29</v>
      </c>
      <c r="Q118" t="s">
        <v>29</v>
      </c>
      <c r="R118" t="s">
        <v>29</v>
      </c>
      <c r="S118" t="s">
        <v>153</v>
      </c>
      <c r="T118" s="2"/>
    </row>
    <row r="119" spans="1:31" x14ac:dyDescent="0.45">
      <c r="A119" t="s">
        <v>150</v>
      </c>
      <c r="B119" t="s">
        <v>21</v>
      </c>
      <c r="C119" t="s">
        <v>22</v>
      </c>
      <c r="D119" t="s">
        <v>59</v>
      </c>
      <c r="E119">
        <v>8</v>
      </c>
      <c r="F119" t="s">
        <v>228</v>
      </c>
      <c r="G119" t="s">
        <v>229</v>
      </c>
      <c r="H119" t="s">
        <v>26</v>
      </c>
      <c r="I119" t="s">
        <v>27</v>
      </c>
      <c r="J119" t="s">
        <v>121</v>
      </c>
      <c r="K119">
        <v>2.0550000000000002</v>
      </c>
      <c r="L119" s="2" t="s">
        <v>29</v>
      </c>
      <c r="M119" s="3">
        <v>6.9480000000000004</v>
      </c>
      <c r="N119" s="3">
        <v>7.0250000000000004</v>
      </c>
      <c r="O119">
        <v>7.6999999999999999E-2</v>
      </c>
      <c r="P119">
        <v>0.04</v>
      </c>
      <c r="Q119">
        <v>4.1000000000000002E-2</v>
      </c>
      <c r="R119">
        <v>1.8149999999999999</v>
      </c>
      <c r="S119" t="s">
        <v>153</v>
      </c>
      <c r="T119" s="2">
        <f t="shared" si="2"/>
        <v>7.6999999999999957E-2</v>
      </c>
    </row>
    <row r="120" spans="1:31" x14ac:dyDescent="0.45">
      <c r="A120" t="s">
        <v>150</v>
      </c>
      <c r="B120" t="s">
        <v>21</v>
      </c>
      <c r="C120" t="s">
        <v>22</v>
      </c>
      <c r="D120" t="s">
        <v>59</v>
      </c>
      <c r="E120">
        <v>8</v>
      </c>
      <c r="F120" t="s">
        <v>230</v>
      </c>
      <c r="G120" t="s">
        <v>220</v>
      </c>
      <c r="H120" t="s">
        <v>26</v>
      </c>
      <c r="I120" t="s">
        <v>32</v>
      </c>
      <c r="J120" t="s">
        <v>121</v>
      </c>
      <c r="K120">
        <v>2.1150000000000002</v>
      </c>
      <c r="L120" s="2" t="s">
        <v>29</v>
      </c>
      <c r="M120" s="3">
        <v>6.899</v>
      </c>
      <c r="N120" s="3">
        <v>7.0540000000000003</v>
      </c>
      <c r="O120">
        <v>0.155</v>
      </c>
      <c r="P120" t="s">
        <v>29</v>
      </c>
      <c r="Q120" t="s">
        <v>29</v>
      </c>
      <c r="R120" t="s">
        <v>29</v>
      </c>
      <c r="S120" t="s">
        <v>153</v>
      </c>
      <c r="T120" s="2">
        <f t="shared" si="2"/>
        <v>0.15500000000000025</v>
      </c>
    </row>
    <row r="121" spans="1:31" x14ac:dyDescent="0.45">
      <c r="A121" t="s">
        <v>150</v>
      </c>
      <c r="B121" t="s">
        <v>21</v>
      </c>
      <c r="C121" t="s">
        <v>22</v>
      </c>
      <c r="D121" t="s">
        <v>59</v>
      </c>
      <c r="E121">
        <v>8</v>
      </c>
      <c r="F121" t="s">
        <v>231</v>
      </c>
      <c r="G121" t="s">
        <v>232</v>
      </c>
      <c r="H121" t="s">
        <v>26</v>
      </c>
      <c r="I121" t="s">
        <v>27</v>
      </c>
      <c r="J121" t="s">
        <v>28</v>
      </c>
      <c r="K121">
        <v>1.843</v>
      </c>
      <c r="L121">
        <v>1.272</v>
      </c>
      <c r="M121" s="2" t="s">
        <v>29</v>
      </c>
      <c r="N121" s="2" t="s">
        <v>29</v>
      </c>
      <c r="O121">
        <v>0.13700000000000001</v>
      </c>
      <c r="P121">
        <v>6.4000000000000001E-2</v>
      </c>
      <c r="Q121">
        <v>6.0999999999999999E-2</v>
      </c>
      <c r="R121">
        <v>2.1549999999999998</v>
      </c>
      <c r="S121" t="s">
        <v>153</v>
      </c>
    </row>
    <row r="122" spans="1:31" x14ac:dyDescent="0.45">
      <c r="A122" t="s">
        <v>150</v>
      </c>
      <c r="B122" t="s">
        <v>21</v>
      </c>
      <c r="C122" t="s">
        <v>22</v>
      </c>
      <c r="D122" t="s">
        <v>59</v>
      </c>
      <c r="E122">
        <v>8</v>
      </c>
      <c r="F122" t="s">
        <v>233</v>
      </c>
      <c r="G122" t="s">
        <v>224</v>
      </c>
      <c r="H122" t="s">
        <v>26</v>
      </c>
      <c r="I122" t="s">
        <v>32</v>
      </c>
      <c r="J122" t="s">
        <v>28</v>
      </c>
      <c r="K122">
        <v>1.6839999999999999</v>
      </c>
      <c r="L122">
        <v>1.349</v>
      </c>
      <c r="M122" s="2" t="s">
        <v>29</v>
      </c>
      <c r="N122" s="2" t="s">
        <v>29</v>
      </c>
      <c r="O122">
        <v>0.151</v>
      </c>
      <c r="P122" t="s">
        <v>29</v>
      </c>
      <c r="Q122" t="s">
        <v>29</v>
      </c>
      <c r="R122" t="s">
        <v>29</v>
      </c>
      <c r="S122" t="s">
        <v>153</v>
      </c>
    </row>
    <row r="123" spans="1:31" x14ac:dyDescent="0.45">
      <c r="A123" t="s">
        <v>150</v>
      </c>
      <c r="B123" t="s">
        <v>21</v>
      </c>
      <c r="C123" t="s">
        <v>22</v>
      </c>
      <c r="D123" t="s">
        <v>62</v>
      </c>
      <c r="E123">
        <v>8</v>
      </c>
      <c r="F123" t="s">
        <v>234</v>
      </c>
      <c r="G123" t="s">
        <v>226</v>
      </c>
      <c r="H123" t="s">
        <v>32</v>
      </c>
      <c r="I123" t="s">
        <v>27</v>
      </c>
      <c r="J123" t="s">
        <v>28</v>
      </c>
      <c r="K123">
        <v>1.9950000000000001</v>
      </c>
      <c r="L123">
        <v>0.92100000000000004</v>
      </c>
      <c r="M123" s="2" t="s">
        <v>29</v>
      </c>
      <c r="N123" s="2" t="s">
        <v>29</v>
      </c>
      <c r="O123">
        <v>0.193</v>
      </c>
      <c r="P123">
        <v>4.1000000000000002E-2</v>
      </c>
      <c r="Q123">
        <v>4.2999999999999997E-2</v>
      </c>
      <c r="R123">
        <v>1.72</v>
      </c>
      <c r="S123" t="s">
        <v>153</v>
      </c>
    </row>
    <row r="124" spans="1:31" x14ac:dyDescent="0.45">
      <c r="A124" t="s">
        <v>150</v>
      </c>
      <c r="B124" t="s">
        <v>21</v>
      </c>
      <c r="C124" t="s">
        <v>22</v>
      </c>
      <c r="D124" t="s">
        <v>62</v>
      </c>
      <c r="E124">
        <v>8</v>
      </c>
      <c r="F124" t="s">
        <v>235</v>
      </c>
      <c r="G124" t="s">
        <v>236</v>
      </c>
      <c r="H124" t="s">
        <v>32</v>
      </c>
      <c r="I124" t="s">
        <v>32</v>
      </c>
      <c r="J124" t="s">
        <v>28</v>
      </c>
      <c r="K124">
        <v>2.1110000000000002</v>
      </c>
      <c r="L124">
        <v>1.21</v>
      </c>
      <c r="M124" s="2" t="s">
        <v>29</v>
      </c>
      <c r="N124" s="2" t="s">
        <v>29</v>
      </c>
      <c r="O124" s="1">
        <v>0.13100000000000001</v>
      </c>
      <c r="P124" s="5" t="s">
        <v>29</v>
      </c>
      <c r="Q124" s="5" t="s">
        <v>29</v>
      </c>
      <c r="R124" s="5" t="s">
        <v>29</v>
      </c>
      <c r="S124" t="s">
        <v>153</v>
      </c>
      <c r="T124" s="4" t="s">
        <v>237</v>
      </c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 x14ac:dyDescent="0.45">
      <c r="A125" t="s">
        <v>150</v>
      </c>
      <c r="B125" t="s">
        <v>21</v>
      </c>
      <c r="C125" t="s">
        <v>22</v>
      </c>
      <c r="D125" t="s">
        <v>63</v>
      </c>
      <c r="E125">
        <v>9</v>
      </c>
      <c r="F125" t="s">
        <v>238</v>
      </c>
      <c r="G125" t="s">
        <v>239</v>
      </c>
      <c r="H125" t="s">
        <v>26</v>
      </c>
      <c r="I125" t="s">
        <v>27</v>
      </c>
      <c r="J125" t="s">
        <v>121</v>
      </c>
      <c r="K125">
        <v>2.11</v>
      </c>
      <c r="L125" s="2" t="s">
        <v>29</v>
      </c>
      <c r="M125" s="3">
        <v>6.9630000000000001</v>
      </c>
      <c r="N125" s="3">
        <v>7.0629999999999997</v>
      </c>
      <c r="O125">
        <v>0.1</v>
      </c>
      <c r="P125">
        <v>4.1000000000000002E-2</v>
      </c>
      <c r="Q125">
        <v>3.9E-2</v>
      </c>
      <c r="R125">
        <v>1.637</v>
      </c>
      <c r="S125" t="s">
        <v>153</v>
      </c>
      <c r="T125" s="2">
        <f t="shared" ref="T125" si="3">N125-M125</f>
        <v>9.9999999999999645E-2</v>
      </c>
    </row>
    <row r="126" spans="1:31" x14ac:dyDescent="0.45">
      <c r="A126" t="s">
        <v>150</v>
      </c>
      <c r="B126" t="s">
        <v>21</v>
      </c>
      <c r="C126" t="s">
        <v>22</v>
      </c>
      <c r="D126" t="s">
        <v>63</v>
      </c>
      <c r="E126">
        <v>9</v>
      </c>
      <c r="F126" t="s">
        <v>240</v>
      </c>
      <c r="G126" t="s">
        <v>241</v>
      </c>
      <c r="H126" t="s">
        <v>26</v>
      </c>
      <c r="I126" t="s">
        <v>32</v>
      </c>
      <c r="J126" t="s">
        <v>121</v>
      </c>
      <c r="K126">
        <v>2.016</v>
      </c>
      <c r="L126" s="2" t="s">
        <v>29</v>
      </c>
      <c r="M126" s="3">
        <v>6.95</v>
      </c>
      <c r="N126" s="3">
        <v>7.0730000000000004</v>
      </c>
      <c r="O126">
        <v>0.123</v>
      </c>
      <c r="P126" t="s">
        <v>29</v>
      </c>
      <c r="Q126" t="s">
        <v>29</v>
      </c>
      <c r="R126" t="s">
        <v>29</v>
      </c>
      <c r="S126" t="s">
        <v>153</v>
      </c>
      <c r="T126" s="2">
        <f>N126-M126</f>
        <v>0.12300000000000022</v>
      </c>
    </row>
    <row r="127" spans="1:31" x14ac:dyDescent="0.45">
      <c r="A127" t="s">
        <v>150</v>
      </c>
      <c r="B127" t="s">
        <v>21</v>
      </c>
      <c r="C127" t="s">
        <v>22</v>
      </c>
      <c r="D127" t="s">
        <v>63</v>
      </c>
      <c r="E127">
        <v>9</v>
      </c>
      <c r="F127" t="s">
        <v>242</v>
      </c>
      <c r="G127" t="s">
        <v>243</v>
      </c>
      <c r="H127" t="s">
        <v>26</v>
      </c>
      <c r="I127" t="s">
        <v>27</v>
      </c>
      <c r="J127" t="s">
        <v>28</v>
      </c>
      <c r="K127">
        <v>1.1220000000000001</v>
      </c>
      <c r="L127">
        <v>0.873</v>
      </c>
      <c r="M127" s="2" t="s">
        <v>29</v>
      </c>
      <c r="N127" s="2" t="s">
        <v>29</v>
      </c>
      <c r="O127">
        <v>0.23899999999999999</v>
      </c>
      <c r="P127">
        <v>0.06</v>
      </c>
      <c r="Q127">
        <v>5.8999999999999997E-2</v>
      </c>
      <c r="R127">
        <v>2.08</v>
      </c>
      <c r="S127" t="s">
        <v>153</v>
      </c>
      <c r="T127" s="2"/>
    </row>
    <row r="128" spans="1:31" x14ac:dyDescent="0.45">
      <c r="A128" t="s">
        <v>150</v>
      </c>
      <c r="B128" t="s">
        <v>21</v>
      </c>
      <c r="C128" t="s">
        <v>22</v>
      </c>
      <c r="D128" t="s">
        <v>63</v>
      </c>
      <c r="E128">
        <v>9</v>
      </c>
      <c r="F128" t="s">
        <v>244</v>
      </c>
      <c r="G128" t="s">
        <v>245</v>
      </c>
      <c r="H128" t="s">
        <v>26</v>
      </c>
      <c r="I128" t="s">
        <v>32</v>
      </c>
      <c r="J128" t="s">
        <v>28</v>
      </c>
      <c r="K128">
        <v>1.3759999999999999</v>
      </c>
      <c r="L128">
        <v>1.0229999999999999</v>
      </c>
      <c r="M128" s="2" t="s">
        <v>29</v>
      </c>
      <c r="N128" s="2" t="s">
        <v>29</v>
      </c>
      <c r="O128">
        <v>0.154</v>
      </c>
      <c r="P128" t="s">
        <v>29</v>
      </c>
      <c r="Q128" t="s">
        <v>29</v>
      </c>
      <c r="R128" t="s">
        <v>29</v>
      </c>
      <c r="S128" t="s">
        <v>153</v>
      </c>
      <c r="T128" s="2"/>
    </row>
    <row r="129" spans="1:20" x14ac:dyDescent="0.45">
      <c r="A129" t="s">
        <v>150</v>
      </c>
      <c r="B129" t="s">
        <v>21</v>
      </c>
      <c r="C129" t="s">
        <v>22</v>
      </c>
      <c r="D129" t="s">
        <v>66</v>
      </c>
      <c r="E129">
        <v>9</v>
      </c>
      <c r="F129" t="s">
        <v>246</v>
      </c>
      <c r="G129" t="s">
        <v>247</v>
      </c>
      <c r="H129" t="s">
        <v>32</v>
      </c>
      <c r="I129" t="s">
        <v>27</v>
      </c>
      <c r="J129" t="s">
        <v>28</v>
      </c>
      <c r="K129">
        <v>5.5250000000000004</v>
      </c>
      <c r="L129">
        <v>0.93500000000000005</v>
      </c>
      <c r="M129" s="2" t="s">
        <v>29</v>
      </c>
      <c r="N129" s="2" t="s">
        <v>29</v>
      </c>
      <c r="O129">
        <v>9.9000000000000005E-2</v>
      </c>
      <c r="P129">
        <v>4.1000000000000002E-2</v>
      </c>
      <c r="Q129">
        <v>0.04</v>
      </c>
      <c r="R129">
        <v>1.82</v>
      </c>
      <c r="S129" t="s">
        <v>153</v>
      </c>
      <c r="T129" s="2"/>
    </row>
    <row r="130" spans="1:20" x14ac:dyDescent="0.45">
      <c r="A130" t="s">
        <v>150</v>
      </c>
      <c r="B130" t="s">
        <v>21</v>
      </c>
      <c r="C130" t="s">
        <v>22</v>
      </c>
      <c r="D130" t="s">
        <v>66</v>
      </c>
      <c r="E130">
        <v>9</v>
      </c>
      <c r="F130" t="s">
        <v>248</v>
      </c>
      <c r="G130" t="s">
        <v>236</v>
      </c>
      <c r="H130" t="s">
        <v>32</v>
      </c>
      <c r="I130" t="s">
        <v>32</v>
      </c>
      <c r="J130" t="s">
        <v>28</v>
      </c>
      <c r="K130">
        <v>5.0149999999999997</v>
      </c>
      <c r="L130">
        <v>1.0840000000000001</v>
      </c>
      <c r="M130" s="2" t="s">
        <v>29</v>
      </c>
      <c r="N130" s="2" t="s">
        <v>29</v>
      </c>
      <c r="O130" s="4">
        <v>0.125</v>
      </c>
      <c r="P130" t="s">
        <v>29</v>
      </c>
      <c r="Q130" t="s">
        <v>29</v>
      </c>
      <c r="R130" t="s">
        <v>29</v>
      </c>
      <c r="S130" t="s">
        <v>153</v>
      </c>
      <c r="T130" s="2"/>
    </row>
    <row r="131" spans="1:20" x14ac:dyDescent="0.45">
      <c r="A131" t="s">
        <v>150</v>
      </c>
      <c r="B131" t="s">
        <v>21</v>
      </c>
      <c r="C131" t="s">
        <v>22</v>
      </c>
      <c r="D131" t="s">
        <v>67</v>
      </c>
      <c r="E131">
        <v>10</v>
      </c>
      <c r="F131" t="s">
        <v>249</v>
      </c>
      <c r="G131" t="s">
        <v>250</v>
      </c>
      <c r="H131" t="s">
        <v>26</v>
      </c>
      <c r="I131" t="s">
        <v>27</v>
      </c>
      <c r="J131" t="s">
        <v>121</v>
      </c>
      <c r="K131">
        <v>2.2109999999999999</v>
      </c>
      <c r="L131" s="2" t="s">
        <v>29</v>
      </c>
      <c r="M131" s="3">
        <v>6.93</v>
      </c>
      <c r="N131" s="3">
        <v>7.09</v>
      </c>
      <c r="O131">
        <v>0.16</v>
      </c>
      <c r="P131">
        <v>3.5999999999999997E-2</v>
      </c>
      <c r="Q131">
        <v>4.2000000000000003E-2</v>
      </c>
      <c r="R131">
        <v>1.728</v>
      </c>
      <c r="S131" t="s">
        <v>153</v>
      </c>
      <c r="T131" s="2">
        <f>N131-M131</f>
        <v>0.16000000000000014</v>
      </c>
    </row>
    <row r="132" spans="1:20" x14ac:dyDescent="0.45">
      <c r="A132" t="s">
        <v>150</v>
      </c>
      <c r="B132" t="s">
        <v>21</v>
      </c>
      <c r="C132" t="s">
        <v>22</v>
      </c>
      <c r="D132" t="s">
        <v>67</v>
      </c>
      <c r="E132">
        <v>10</v>
      </c>
      <c r="F132" t="s">
        <v>251</v>
      </c>
      <c r="G132" t="s">
        <v>241</v>
      </c>
      <c r="H132" t="s">
        <v>26</v>
      </c>
      <c r="I132" t="s">
        <v>32</v>
      </c>
      <c r="J132" t="s">
        <v>121</v>
      </c>
      <c r="K132">
        <v>2.2200000000000002</v>
      </c>
      <c r="L132" s="2" t="s">
        <v>29</v>
      </c>
      <c r="M132" s="3">
        <v>6.9290000000000003</v>
      </c>
      <c r="N132" s="3">
        <v>7.1319999999999997</v>
      </c>
      <c r="O132">
        <v>0.20300000000000001</v>
      </c>
      <c r="P132" t="s">
        <v>29</v>
      </c>
      <c r="Q132" t="s">
        <v>29</v>
      </c>
      <c r="R132" t="s">
        <v>29</v>
      </c>
      <c r="S132" t="s">
        <v>153</v>
      </c>
      <c r="T132" s="2">
        <f>N132-M132</f>
        <v>0.2029999999999994</v>
      </c>
    </row>
    <row r="133" spans="1:20" x14ac:dyDescent="0.45">
      <c r="A133" t="s">
        <v>150</v>
      </c>
      <c r="B133" t="s">
        <v>21</v>
      </c>
      <c r="C133" t="s">
        <v>22</v>
      </c>
      <c r="D133" t="s">
        <v>67</v>
      </c>
      <c r="E133">
        <v>10</v>
      </c>
      <c r="F133" t="s">
        <v>252</v>
      </c>
      <c r="G133" t="s">
        <v>253</v>
      </c>
      <c r="H133" t="s">
        <v>26</v>
      </c>
      <c r="I133" t="s">
        <v>27</v>
      </c>
      <c r="J133" t="s">
        <v>28</v>
      </c>
      <c r="K133">
        <v>1.208</v>
      </c>
      <c r="L133">
        <v>0.76500000000000001</v>
      </c>
      <c r="M133" s="2" t="s">
        <v>29</v>
      </c>
      <c r="N133" s="2" t="s">
        <v>29</v>
      </c>
      <c r="O133">
        <v>0.183</v>
      </c>
      <c r="P133">
        <v>4.3999999999999997E-2</v>
      </c>
      <c r="Q133">
        <v>4.2999999999999997E-2</v>
      </c>
      <c r="R133">
        <v>1.9910000000000001</v>
      </c>
      <c r="S133" t="s">
        <v>153</v>
      </c>
    </row>
    <row r="134" spans="1:20" x14ac:dyDescent="0.45">
      <c r="A134" t="s">
        <v>150</v>
      </c>
      <c r="B134" t="s">
        <v>21</v>
      </c>
      <c r="C134" t="s">
        <v>22</v>
      </c>
      <c r="D134" t="s">
        <v>67</v>
      </c>
      <c r="E134">
        <v>10</v>
      </c>
      <c r="F134" t="s">
        <v>254</v>
      </c>
      <c r="G134" t="s">
        <v>245</v>
      </c>
      <c r="H134" t="s">
        <v>26</v>
      </c>
      <c r="I134" t="s">
        <v>32</v>
      </c>
      <c r="J134" t="s">
        <v>28</v>
      </c>
      <c r="K134">
        <v>1.1930000000000001</v>
      </c>
      <c r="L134">
        <v>0.878</v>
      </c>
      <c r="M134" s="2" t="s">
        <v>29</v>
      </c>
      <c r="N134" s="2" t="s">
        <v>29</v>
      </c>
      <c r="O134">
        <v>0.14199999999999999</v>
      </c>
      <c r="P134" t="s">
        <v>29</v>
      </c>
      <c r="Q134" t="s">
        <v>29</v>
      </c>
      <c r="R134" t="s">
        <v>29</v>
      </c>
      <c r="S134" t="s">
        <v>153</v>
      </c>
    </row>
    <row r="135" spans="1:20" x14ac:dyDescent="0.45">
      <c r="A135" t="s">
        <v>150</v>
      </c>
      <c r="B135" t="s">
        <v>21</v>
      </c>
      <c r="C135" t="s">
        <v>22</v>
      </c>
      <c r="D135" t="s">
        <v>70</v>
      </c>
      <c r="E135">
        <v>10</v>
      </c>
      <c r="F135" t="s">
        <v>255</v>
      </c>
      <c r="G135" t="s">
        <v>247</v>
      </c>
      <c r="H135" t="s">
        <v>32</v>
      </c>
      <c r="I135" t="s">
        <v>27</v>
      </c>
      <c r="J135" t="s">
        <v>28</v>
      </c>
      <c r="K135">
        <v>1.645</v>
      </c>
      <c r="L135">
        <v>1.0209999999999999</v>
      </c>
      <c r="M135" s="2" t="s">
        <v>29</v>
      </c>
      <c r="N135" s="2" t="s">
        <v>29</v>
      </c>
      <c r="O135">
        <v>0.14599999999999999</v>
      </c>
      <c r="P135">
        <v>3.5000000000000003E-2</v>
      </c>
      <c r="Q135" t="s">
        <v>29</v>
      </c>
      <c r="R135" t="s">
        <v>29</v>
      </c>
      <c r="S135" t="s">
        <v>153</v>
      </c>
      <c r="T135" t="s">
        <v>256</v>
      </c>
    </row>
    <row r="136" spans="1:20" x14ac:dyDescent="0.45">
      <c r="A136" t="s">
        <v>150</v>
      </c>
      <c r="B136" t="s">
        <v>21</v>
      </c>
      <c r="C136" t="s">
        <v>22</v>
      </c>
      <c r="D136" t="s">
        <v>70</v>
      </c>
      <c r="E136">
        <v>10</v>
      </c>
      <c r="F136" t="s">
        <v>257</v>
      </c>
      <c r="G136" t="s">
        <v>258</v>
      </c>
      <c r="H136" t="s">
        <v>32</v>
      </c>
      <c r="I136" t="s">
        <v>32</v>
      </c>
      <c r="J136" t="s">
        <v>28</v>
      </c>
      <c r="K136">
        <v>1.5629999999999999</v>
      </c>
      <c r="L136">
        <v>0.90900000000000003</v>
      </c>
      <c r="M136" s="2" t="s">
        <v>29</v>
      </c>
      <c r="N136" s="2" t="s">
        <v>29</v>
      </c>
      <c r="O136">
        <v>0.128</v>
      </c>
      <c r="P136" t="s">
        <v>29</v>
      </c>
      <c r="Q136" t="s">
        <v>29</v>
      </c>
      <c r="R136" t="s">
        <v>29</v>
      </c>
      <c r="S136" t="s">
        <v>153</v>
      </c>
    </row>
    <row r="137" spans="1:20" x14ac:dyDescent="0.45">
      <c r="A137" t="s">
        <v>150</v>
      </c>
      <c r="B137" t="s">
        <v>21</v>
      </c>
      <c r="C137" t="s">
        <v>22</v>
      </c>
      <c r="D137" t="s">
        <v>71</v>
      </c>
      <c r="E137">
        <v>11</v>
      </c>
      <c r="F137" t="s">
        <v>259</v>
      </c>
      <c r="G137" t="s">
        <v>260</v>
      </c>
      <c r="H137" t="s">
        <v>26</v>
      </c>
      <c r="I137" t="s">
        <v>27</v>
      </c>
      <c r="J137" t="s">
        <v>121</v>
      </c>
      <c r="K137">
        <v>2.3420000000000001</v>
      </c>
      <c r="L137" s="2" t="s">
        <v>29</v>
      </c>
      <c r="M137" s="3">
        <v>6.923</v>
      </c>
      <c r="N137" s="3">
        <v>7.008</v>
      </c>
      <c r="O137">
        <v>8.5000000000000006E-2</v>
      </c>
      <c r="P137">
        <v>4.3999999999999997E-2</v>
      </c>
      <c r="Q137">
        <v>4.4999999999999998E-2</v>
      </c>
      <c r="R137">
        <v>2.125</v>
      </c>
      <c r="S137" t="s">
        <v>153</v>
      </c>
      <c r="T137" s="2">
        <f>N137-M137</f>
        <v>8.4999999999999964E-2</v>
      </c>
    </row>
    <row r="138" spans="1:20" x14ac:dyDescent="0.45">
      <c r="A138" t="s">
        <v>150</v>
      </c>
      <c r="B138" t="s">
        <v>21</v>
      </c>
      <c r="C138" t="s">
        <v>22</v>
      </c>
      <c r="D138" t="s">
        <v>71</v>
      </c>
      <c r="E138">
        <v>11</v>
      </c>
      <c r="F138" t="s">
        <v>261</v>
      </c>
      <c r="G138" t="s">
        <v>262</v>
      </c>
      <c r="H138" t="s">
        <v>26</v>
      </c>
      <c r="I138" t="s">
        <v>32</v>
      </c>
      <c r="J138" t="s">
        <v>121</v>
      </c>
      <c r="K138">
        <v>2.2069999999999999</v>
      </c>
      <c r="L138" s="2" t="s">
        <v>29</v>
      </c>
      <c r="M138" s="3">
        <v>6.976</v>
      </c>
      <c r="N138" s="3">
        <v>7.1349999999999998</v>
      </c>
      <c r="O138">
        <v>0.159</v>
      </c>
      <c r="P138" t="s">
        <v>29</v>
      </c>
      <c r="Q138" t="s">
        <v>29</v>
      </c>
      <c r="R138" t="s">
        <v>29</v>
      </c>
      <c r="S138" t="s">
        <v>153</v>
      </c>
      <c r="T138" s="2">
        <f>N138-M138</f>
        <v>0.15899999999999981</v>
      </c>
    </row>
    <row r="139" spans="1:20" x14ac:dyDescent="0.45">
      <c r="A139" t="s">
        <v>150</v>
      </c>
      <c r="B139" t="s">
        <v>21</v>
      </c>
      <c r="C139" t="s">
        <v>22</v>
      </c>
      <c r="D139" t="s">
        <v>71</v>
      </c>
      <c r="E139">
        <v>11</v>
      </c>
      <c r="F139" t="s">
        <v>263</v>
      </c>
      <c r="G139" t="s">
        <v>264</v>
      </c>
      <c r="H139" t="s">
        <v>26</v>
      </c>
      <c r="I139" t="s">
        <v>27</v>
      </c>
      <c r="J139" t="s">
        <v>28</v>
      </c>
      <c r="K139">
        <v>0.79500000000000004</v>
      </c>
      <c r="L139">
        <v>0.88300000000000001</v>
      </c>
      <c r="M139" s="2" t="s">
        <v>29</v>
      </c>
      <c r="N139" s="2" t="s">
        <v>29</v>
      </c>
      <c r="O139">
        <v>0.129</v>
      </c>
      <c r="P139">
        <v>8.6999999999999994E-2</v>
      </c>
      <c r="Q139">
        <v>9.1999999999999998E-2</v>
      </c>
      <c r="R139">
        <v>2.5470000000000002</v>
      </c>
      <c r="S139" t="s">
        <v>153</v>
      </c>
    </row>
    <row r="140" spans="1:20" x14ac:dyDescent="0.45">
      <c r="A140" t="s">
        <v>150</v>
      </c>
      <c r="B140" t="s">
        <v>21</v>
      </c>
      <c r="C140" t="s">
        <v>22</v>
      </c>
      <c r="D140" t="s">
        <v>71</v>
      </c>
      <c r="E140">
        <v>11</v>
      </c>
      <c r="F140" t="s">
        <v>265</v>
      </c>
      <c r="G140" t="s">
        <v>266</v>
      </c>
      <c r="H140" t="s">
        <v>26</v>
      </c>
      <c r="I140" t="s">
        <v>32</v>
      </c>
      <c r="J140" t="s">
        <v>28</v>
      </c>
      <c r="K140">
        <v>0.96</v>
      </c>
      <c r="L140">
        <v>0.94199999999999995</v>
      </c>
      <c r="M140" s="2" t="s">
        <v>29</v>
      </c>
      <c r="N140" s="2" t="s">
        <v>29</v>
      </c>
      <c r="O140">
        <v>0.13700000000000001</v>
      </c>
      <c r="P140" t="s">
        <v>29</v>
      </c>
      <c r="Q140" t="s">
        <v>29</v>
      </c>
      <c r="R140" t="s">
        <v>29</v>
      </c>
      <c r="S140" t="s">
        <v>153</v>
      </c>
    </row>
    <row r="141" spans="1:20" x14ac:dyDescent="0.45">
      <c r="A141" t="s">
        <v>150</v>
      </c>
      <c r="B141" t="s">
        <v>21</v>
      </c>
      <c r="C141" t="s">
        <v>22</v>
      </c>
      <c r="D141" t="s">
        <v>73</v>
      </c>
      <c r="E141">
        <v>11</v>
      </c>
      <c r="F141" t="s">
        <v>267</v>
      </c>
      <c r="G141" t="s">
        <v>268</v>
      </c>
      <c r="H141" t="s">
        <v>32</v>
      </c>
      <c r="I141" t="s">
        <v>27</v>
      </c>
      <c r="J141" t="s">
        <v>28</v>
      </c>
      <c r="K141">
        <v>2.411</v>
      </c>
      <c r="L141">
        <v>1.1559999999999999</v>
      </c>
      <c r="M141" s="2" t="s">
        <v>29</v>
      </c>
      <c r="N141" s="2" t="s">
        <v>29</v>
      </c>
      <c r="O141">
        <v>0.23499999999999999</v>
      </c>
      <c r="P141">
        <v>0.04</v>
      </c>
      <c r="Q141">
        <v>0.04</v>
      </c>
      <c r="R141">
        <v>1.9930000000000001</v>
      </c>
      <c r="S141" t="s">
        <v>153</v>
      </c>
    </row>
    <row r="142" spans="1:20" x14ac:dyDescent="0.45">
      <c r="A142" t="s">
        <v>150</v>
      </c>
      <c r="B142" t="s">
        <v>21</v>
      </c>
      <c r="C142" t="s">
        <v>22</v>
      </c>
      <c r="D142" t="s">
        <v>73</v>
      </c>
      <c r="E142">
        <v>11</v>
      </c>
      <c r="F142" t="s">
        <v>269</v>
      </c>
      <c r="G142" t="s">
        <v>270</v>
      </c>
      <c r="H142" t="s">
        <v>32</v>
      </c>
      <c r="I142" t="s">
        <v>32</v>
      </c>
      <c r="J142" t="s">
        <v>28</v>
      </c>
      <c r="K142">
        <v>2.347</v>
      </c>
      <c r="L142">
        <v>1.0229999999999999</v>
      </c>
      <c r="M142" s="2" t="s">
        <v>29</v>
      </c>
      <c r="N142" s="2" t="s">
        <v>29</v>
      </c>
      <c r="O142">
        <v>0.13500000000000001</v>
      </c>
      <c r="P142" t="s">
        <v>29</v>
      </c>
      <c r="Q142" t="s">
        <v>29</v>
      </c>
      <c r="R142" t="s">
        <v>29</v>
      </c>
      <c r="S142" t="s">
        <v>153</v>
      </c>
    </row>
    <row r="143" spans="1:20" x14ac:dyDescent="0.45">
      <c r="A143" t="s">
        <v>150</v>
      </c>
      <c r="B143" t="s">
        <v>21</v>
      </c>
      <c r="C143" t="s">
        <v>22</v>
      </c>
      <c r="D143" t="s">
        <v>74</v>
      </c>
      <c r="E143">
        <v>12</v>
      </c>
      <c r="F143" t="s">
        <v>271</v>
      </c>
      <c r="G143" t="s">
        <v>272</v>
      </c>
      <c r="H143" t="s">
        <v>26</v>
      </c>
      <c r="I143" t="s">
        <v>27</v>
      </c>
      <c r="J143" t="s">
        <v>121</v>
      </c>
      <c r="K143">
        <v>1.1950000000000001</v>
      </c>
      <c r="L143" s="2" t="s">
        <v>29</v>
      </c>
      <c r="M143" s="3">
        <v>6.968</v>
      </c>
      <c r="N143" s="3">
        <v>7.0830000000000002</v>
      </c>
      <c r="O143">
        <v>0.115</v>
      </c>
      <c r="P143">
        <v>3.5999999999999997E-2</v>
      </c>
      <c r="Q143">
        <v>3.5999999999999997E-2</v>
      </c>
      <c r="R143">
        <v>1.7370000000000001</v>
      </c>
      <c r="S143" t="s">
        <v>153</v>
      </c>
      <c r="T143" s="2">
        <f>N143-M143</f>
        <v>0.11500000000000021</v>
      </c>
    </row>
    <row r="144" spans="1:20" x14ac:dyDescent="0.45">
      <c r="A144" t="s">
        <v>150</v>
      </c>
      <c r="B144" t="s">
        <v>21</v>
      </c>
      <c r="C144" t="s">
        <v>22</v>
      </c>
      <c r="D144" t="s">
        <v>74</v>
      </c>
      <c r="E144">
        <v>12</v>
      </c>
      <c r="F144" t="s">
        <v>273</v>
      </c>
      <c r="G144" t="s">
        <v>262</v>
      </c>
      <c r="H144" t="s">
        <v>26</v>
      </c>
      <c r="I144" t="s">
        <v>32</v>
      </c>
      <c r="J144" t="s">
        <v>121</v>
      </c>
      <c r="K144">
        <v>2.0550000000000002</v>
      </c>
      <c r="L144" s="2" t="s">
        <v>29</v>
      </c>
      <c r="M144" s="3">
        <v>6.984</v>
      </c>
      <c r="N144" s="3">
        <v>7.0979999999999999</v>
      </c>
      <c r="O144">
        <v>0.114</v>
      </c>
      <c r="P144" t="s">
        <v>29</v>
      </c>
      <c r="Q144" t="s">
        <v>29</v>
      </c>
      <c r="R144" t="s">
        <v>29</v>
      </c>
      <c r="S144" t="s">
        <v>153</v>
      </c>
      <c r="T144" s="2">
        <f>N144-M144</f>
        <v>0.11399999999999988</v>
      </c>
    </row>
    <row r="145" spans="1:25" x14ac:dyDescent="0.45">
      <c r="A145" t="s">
        <v>150</v>
      </c>
      <c r="B145" t="s">
        <v>21</v>
      </c>
      <c r="C145" t="s">
        <v>22</v>
      </c>
      <c r="D145" t="s">
        <v>74</v>
      </c>
      <c r="E145">
        <v>12</v>
      </c>
      <c r="F145" t="s">
        <v>274</v>
      </c>
      <c r="G145" t="s">
        <v>275</v>
      </c>
      <c r="H145" t="s">
        <v>26</v>
      </c>
      <c r="I145" t="s">
        <v>27</v>
      </c>
      <c r="J145" t="s">
        <v>28</v>
      </c>
      <c r="K145">
        <v>0.752</v>
      </c>
      <c r="L145">
        <v>1.177</v>
      </c>
      <c r="M145" s="2" t="s">
        <v>29</v>
      </c>
      <c r="N145" s="2" t="s">
        <v>29</v>
      </c>
      <c r="O145">
        <v>0.35299999999999998</v>
      </c>
      <c r="P145">
        <v>7.6999999999999999E-2</v>
      </c>
      <c r="Q145">
        <v>8.7999999999999995E-2</v>
      </c>
      <c r="R145">
        <v>2.5649999999999999</v>
      </c>
      <c r="S145" t="s">
        <v>153</v>
      </c>
    </row>
    <row r="146" spans="1:25" x14ac:dyDescent="0.45">
      <c r="A146" t="s">
        <v>150</v>
      </c>
      <c r="B146" t="s">
        <v>21</v>
      </c>
      <c r="C146" t="s">
        <v>22</v>
      </c>
      <c r="D146" t="s">
        <v>74</v>
      </c>
      <c r="E146">
        <v>12</v>
      </c>
      <c r="F146" t="s">
        <v>276</v>
      </c>
      <c r="G146" t="s">
        <v>266</v>
      </c>
      <c r="H146" t="s">
        <v>26</v>
      </c>
      <c r="I146" t="s">
        <v>32</v>
      </c>
      <c r="J146" t="s">
        <v>28</v>
      </c>
      <c r="K146">
        <v>1.1879999999999999</v>
      </c>
      <c r="L146">
        <v>1.153</v>
      </c>
      <c r="M146" s="2" t="s">
        <v>29</v>
      </c>
      <c r="N146" s="2" t="s">
        <v>29</v>
      </c>
      <c r="O146">
        <v>0.182</v>
      </c>
      <c r="P146" t="s">
        <v>29</v>
      </c>
      <c r="Q146" t="s">
        <v>29</v>
      </c>
      <c r="R146" t="s">
        <v>29</v>
      </c>
      <c r="S146" t="s">
        <v>153</v>
      </c>
    </row>
    <row r="147" spans="1:25" x14ac:dyDescent="0.45">
      <c r="A147" t="s">
        <v>150</v>
      </c>
      <c r="B147" t="s">
        <v>21</v>
      </c>
      <c r="C147" t="s">
        <v>22</v>
      </c>
      <c r="D147" t="s">
        <v>77</v>
      </c>
      <c r="E147">
        <v>12</v>
      </c>
      <c r="F147" t="s">
        <v>277</v>
      </c>
      <c r="G147" t="s">
        <v>268</v>
      </c>
      <c r="H147" t="s">
        <v>32</v>
      </c>
      <c r="I147" t="s">
        <v>27</v>
      </c>
      <c r="J147" t="s">
        <v>28</v>
      </c>
      <c r="K147">
        <v>1.2589999999999999</v>
      </c>
      <c r="L147">
        <v>0.877</v>
      </c>
      <c r="M147" s="2" t="s">
        <v>29</v>
      </c>
      <c r="N147" s="2" t="s">
        <v>29</v>
      </c>
      <c r="O147">
        <v>0.19700000000000001</v>
      </c>
      <c r="P147">
        <v>0.04</v>
      </c>
      <c r="Q147">
        <v>4.1000000000000002E-2</v>
      </c>
      <c r="R147">
        <v>1.831</v>
      </c>
      <c r="S147" t="s">
        <v>153</v>
      </c>
    </row>
    <row r="148" spans="1:25" x14ac:dyDescent="0.45">
      <c r="A148" t="s">
        <v>150</v>
      </c>
      <c r="B148" t="s">
        <v>21</v>
      </c>
      <c r="C148" t="s">
        <v>22</v>
      </c>
      <c r="D148" t="s">
        <v>77</v>
      </c>
      <c r="E148">
        <v>12</v>
      </c>
      <c r="F148" t="s">
        <v>278</v>
      </c>
      <c r="G148" t="s">
        <v>279</v>
      </c>
      <c r="H148" t="s">
        <v>32</v>
      </c>
      <c r="I148" t="s">
        <v>32</v>
      </c>
      <c r="J148" t="s">
        <v>28</v>
      </c>
      <c r="K148">
        <v>1.2909999999999999</v>
      </c>
      <c r="L148">
        <v>1.07</v>
      </c>
      <c r="M148" s="2" t="s">
        <v>29</v>
      </c>
      <c r="N148" s="2" t="s">
        <v>29</v>
      </c>
      <c r="O148">
        <v>0.152</v>
      </c>
      <c r="P148" t="s">
        <v>29</v>
      </c>
      <c r="Q148" t="s">
        <v>29</v>
      </c>
      <c r="R148" t="s">
        <v>29</v>
      </c>
      <c r="S148" t="s">
        <v>153</v>
      </c>
    </row>
    <row r="149" spans="1:25" x14ac:dyDescent="0.45">
      <c r="A149" t="s">
        <v>150</v>
      </c>
      <c r="B149" t="s">
        <v>21</v>
      </c>
      <c r="C149" t="s">
        <v>22</v>
      </c>
      <c r="D149" t="s">
        <v>78</v>
      </c>
      <c r="E149">
        <v>13</v>
      </c>
      <c r="F149" t="s">
        <v>280</v>
      </c>
      <c r="G149" t="s">
        <v>281</v>
      </c>
      <c r="H149" t="s">
        <v>26</v>
      </c>
      <c r="I149" t="s">
        <v>27</v>
      </c>
      <c r="J149" t="s">
        <v>121</v>
      </c>
      <c r="K149">
        <v>1.9950000000000001</v>
      </c>
      <c r="L149" s="2" t="s">
        <v>29</v>
      </c>
      <c r="M149" s="3">
        <v>6.9409999999999998</v>
      </c>
      <c r="N149" s="3">
        <v>7.0350000000000001</v>
      </c>
      <c r="O149">
        <v>9.4E-2</v>
      </c>
      <c r="P149">
        <v>0.04</v>
      </c>
      <c r="Q149">
        <v>4.1000000000000002E-2</v>
      </c>
      <c r="R149">
        <v>1.7270000000000001</v>
      </c>
      <c r="S149" t="s">
        <v>153</v>
      </c>
      <c r="T149" s="2">
        <f>N149-M149</f>
        <v>9.4000000000000306E-2</v>
      </c>
    </row>
    <row r="150" spans="1:25" x14ac:dyDescent="0.45">
      <c r="A150" t="s">
        <v>150</v>
      </c>
      <c r="B150" t="s">
        <v>21</v>
      </c>
      <c r="C150" t="s">
        <v>22</v>
      </c>
      <c r="D150" t="s">
        <v>78</v>
      </c>
      <c r="E150">
        <v>13</v>
      </c>
      <c r="F150" t="s">
        <v>282</v>
      </c>
      <c r="G150" t="s">
        <v>283</v>
      </c>
      <c r="H150" t="s">
        <v>26</v>
      </c>
      <c r="I150" t="s">
        <v>32</v>
      </c>
      <c r="J150" t="s">
        <v>121</v>
      </c>
      <c r="K150">
        <v>1.9319999999999999</v>
      </c>
      <c r="L150" s="2" t="s">
        <v>29</v>
      </c>
      <c r="M150" s="3">
        <v>7.0140000000000002</v>
      </c>
      <c r="N150" s="3">
        <v>7.077</v>
      </c>
      <c r="O150">
        <v>6.3E-2</v>
      </c>
      <c r="P150" t="s">
        <v>29</v>
      </c>
      <c r="Q150" t="s">
        <v>29</v>
      </c>
      <c r="R150" t="s">
        <v>29</v>
      </c>
      <c r="S150" t="s">
        <v>153</v>
      </c>
      <c r="T150" s="2">
        <f>N150-M150</f>
        <v>6.2999999999999723E-2</v>
      </c>
    </row>
    <row r="151" spans="1:25" x14ac:dyDescent="0.45">
      <c r="A151" t="s">
        <v>150</v>
      </c>
      <c r="B151" t="s">
        <v>21</v>
      </c>
      <c r="C151" t="s">
        <v>22</v>
      </c>
      <c r="D151" t="s">
        <v>78</v>
      </c>
      <c r="E151">
        <v>13</v>
      </c>
      <c r="F151" t="s">
        <v>284</v>
      </c>
      <c r="G151" t="s">
        <v>285</v>
      </c>
      <c r="H151" t="s">
        <v>26</v>
      </c>
      <c r="I151" t="s">
        <v>27</v>
      </c>
      <c r="J151" t="s">
        <v>28</v>
      </c>
      <c r="K151">
        <v>1.2250000000000001</v>
      </c>
      <c r="L151">
        <v>1.1200000000000001</v>
      </c>
      <c r="M151" s="2" t="s">
        <v>29</v>
      </c>
      <c r="N151" s="2" t="s">
        <v>29</v>
      </c>
      <c r="O151">
        <v>0.154</v>
      </c>
      <c r="P151">
        <v>7.1999999999999995E-2</v>
      </c>
      <c r="Q151">
        <v>8.6999999999999994E-2</v>
      </c>
      <c r="R151">
        <v>2.37</v>
      </c>
      <c r="S151" t="s">
        <v>153</v>
      </c>
      <c r="T151" t="s">
        <v>256</v>
      </c>
    </row>
    <row r="152" spans="1:25" x14ac:dyDescent="0.45">
      <c r="A152" t="s">
        <v>150</v>
      </c>
      <c r="B152" t="s">
        <v>21</v>
      </c>
      <c r="C152" t="s">
        <v>22</v>
      </c>
      <c r="D152" t="s">
        <v>78</v>
      </c>
      <c r="E152">
        <v>13</v>
      </c>
      <c r="F152" t="s">
        <v>286</v>
      </c>
      <c r="G152" t="s">
        <v>287</v>
      </c>
      <c r="H152" t="s">
        <v>26</v>
      </c>
      <c r="I152" t="s">
        <v>32</v>
      </c>
      <c r="J152" t="s">
        <v>28</v>
      </c>
      <c r="K152">
        <v>1.0129999999999999</v>
      </c>
      <c r="L152">
        <v>1.1319999999999999</v>
      </c>
      <c r="M152" s="2" t="s">
        <v>29</v>
      </c>
      <c r="N152" s="2" t="s">
        <v>29</v>
      </c>
      <c r="O152">
        <v>0.311</v>
      </c>
      <c r="P152" t="s">
        <v>29</v>
      </c>
      <c r="Q152" t="s">
        <v>29</v>
      </c>
      <c r="R152" t="s">
        <v>29</v>
      </c>
      <c r="S152" t="s">
        <v>153</v>
      </c>
    </row>
    <row r="153" spans="1:25" x14ac:dyDescent="0.45">
      <c r="A153" t="s">
        <v>150</v>
      </c>
      <c r="B153" t="s">
        <v>21</v>
      </c>
      <c r="C153" t="s">
        <v>22</v>
      </c>
      <c r="D153" t="s">
        <v>81</v>
      </c>
      <c r="E153">
        <v>13</v>
      </c>
      <c r="F153" t="s">
        <v>288</v>
      </c>
      <c r="G153" t="s">
        <v>289</v>
      </c>
      <c r="H153" t="s">
        <v>32</v>
      </c>
      <c r="I153" t="s">
        <v>27</v>
      </c>
      <c r="J153" t="s">
        <v>28</v>
      </c>
      <c r="K153">
        <v>1.468</v>
      </c>
      <c r="L153">
        <v>1.042</v>
      </c>
      <c r="M153" s="2" t="s">
        <v>29</v>
      </c>
      <c r="N153" s="2" t="s">
        <v>29</v>
      </c>
      <c r="O153">
        <v>0.15</v>
      </c>
      <c r="P153">
        <v>2.9000000000000001E-2</v>
      </c>
      <c r="Q153">
        <v>3.1E-2</v>
      </c>
      <c r="R153">
        <v>1.74</v>
      </c>
      <c r="S153" t="s">
        <v>153</v>
      </c>
    </row>
    <row r="154" spans="1:25" x14ac:dyDescent="0.45">
      <c r="A154" t="s">
        <v>150</v>
      </c>
      <c r="B154" t="s">
        <v>21</v>
      </c>
      <c r="C154" t="s">
        <v>22</v>
      </c>
      <c r="D154" t="s">
        <v>81</v>
      </c>
      <c r="E154">
        <v>13</v>
      </c>
      <c r="F154" t="s">
        <v>290</v>
      </c>
      <c r="G154" t="s">
        <v>291</v>
      </c>
      <c r="H154" t="s">
        <v>32</v>
      </c>
      <c r="I154" t="s">
        <v>32</v>
      </c>
      <c r="J154" t="s">
        <v>28</v>
      </c>
      <c r="K154">
        <v>1.173</v>
      </c>
      <c r="L154">
        <v>0.92300000000000004</v>
      </c>
      <c r="M154" s="2" t="s">
        <v>29</v>
      </c>
      <c r="N154" s="2" t="s">
        <v>29</v>
      </c>
      <c r="O154">
        <v>0.125</v>
      </c>
      <c r="P154" t="s">
        <v>29</v>
      </c>
      <c r="Q154" t="s">
        <v>29</v>
      </c>
      <c r="R154" t="s">
        <v>29</v>
      </c>
      <c r="S154" t="s">
        <v>153</v>
      </c>
    </row>
    <row r="155" spans="1:25" x14ac:dyDescent="0.45">
      <c r="A155" t="s">
        <v>150</v>
      </c>
      <c r="B155" t="s">
        <v>21</v>
      </c>
      <c r="C155" t="s">
        <v>22</v>
      </c>
      <c r="D155" t="s">
        <v>82</v>
      </c>
      <c r="E155">
        <v>14</v>
      </c>
      <c r="F155" t="s">
        <v>292</v>
      </c>
      <c r="G155" t="s">
        <v>293</v>
      </c>
      <c r="H155" t="s">
        <v>26</v>
      </c>
      <c r="I155" t="s">
        <v>27</v>
      </c>
      <c r="J155" t="s">
        <v>28</v>
      </c>
      <c r="K155">
        <v>2.1019999999999999</v>
      </c>
      <c r="L155">
        <v>0.53800000000000003</v>
      </c>
      <c r="M155" s="2" t="s">
        <v>29</v>
      </c>
      <c r="N155" s="2" t="s">
        <v>29</v>
      </c>
      <c r="O155">
        <v>6.6000000000000003E-2</v>
      </c>
      <c r="P155">
        <v>5.7000000000000002E-2</v>
      </c>
      <c r="Q155">
        <v>6.0999999999999999E-2</v>
      </c>
      <c r="R155">
        <v>2.1509999999999998</v>
      </c>
      <c r="S155" t="s">
        <v>153</v>
      </c>
    </row>
    <row r="156" spans="1:25" x14ac:dyDescent="0.45">
      <c r="A156" t="s">
        <v>150</v>
      </c>
      <c r="B156" t="s">
        <v>21</v>
      </c>
      <c r="C156" t="s">
        <v>22</v>
      </c>
      <c r="D156" t="s">
        <v>82</v>
      </c>
      <c r="E156">
        <v>14</v>
      </c>
      <c r="F156" t="s">
        <v>294</v>
      </c>
      <c r="G156" t="s">
        <v>287</v>
      </c>
      <c r="H156" t="s">
        <v>26</v>
      </c>
      <c r="I156" t="s">
        <v>32</v>
      </c>
      <c r="J156" t="s">
        <v>28</v>
      </c>
      <c r="K156">
        <v>1.599</v>
      </c>
      <c r="L156">
        <v>0.95099999999999996</v>
      </c>
      <c r="M156" s="2" t="s">
        <v>29</v>
      </c>
      <c r="N156" s="2" t="s">
        <v>29</v>
      </c>
      <c r="O156">
        <v>0.105</v>
      </c>
      <c r="P156" t="s">
        <v>29</v>
      </c>
      <c r="Q156" t="s">
        <v>29</v>
      </c>
      <c r="R156" t="s">
        <v>29</v>
      </c>
      <c r="S156" t="s">
        <v>153</v>
      </c>
    </row>
    <row r="157" spans="1:25" x14ac:dyDescent="0.45">
      <c r="A157" t="s">
        <v>150</v>
      </c>
      <c r="B157" t="s">
        <v>21</v>
      </c>
      <c r="C157" t="s">
        <v>22</v>
      </c>
      <c r="D157" t="s">
        <v>85</v>
      </c>
      <c r="E157">
        <v>14</v>
      </c>
      <c r="F157" t="s">
        <v>295</v>
      </c>
      <c r="G157" t="s">
        <v>289</v>
      </c>
      <c r="H157" t="s">
        <v>32</v>
      </c>
      <c r="I157" t="s">
        <v>27</v>
      </c>
      <c r="J157" t="s">
        <v>28</v>
      </c>
      <c r="K157">
        <v>1.22</v>
      </c>
      <c r="L157">
        <v>0.746</v>
      </c>
      <c r="M157" s="2" t="s">
        <v>29</v>
      </c>
      <c r="N157" s="2" t="s">
        <v>29</v>
      </c>
      <c r="O157">
        <v>8.3000000000000004E-2</v>
      </c>
      <c r="P157">
        <v>0.03</v>
      </c>
      <c r="Q157">
        <v>3.2000000000000001E-2</v>
      </c>
      <c r="R157">
        <v>1.6759999999999999</v>
      </c>
      <c r="S157" t="s">
        <v>153</v>
      </c>
    </row>
    <row r="158" spans="1:25" x14ac:dyDescent="0.45">
      <c r="A158" t="s">
        <v>150</v>
      </c>
      <c r="B158" t="s">
        <v>21</v>
      </c>
      <c r="C158" t="s">
        <v>22</v>
      </c>
      <c r="D158" t="s">
        <v>85</v>
      </c>
      <c r="E158">
        <v>14</v>
      </c>
      <c r="F158" t="s">
        <v>296</v>
      </c>
      <c r="G158" t="s">
        <v>297</v>
      </c>
      <c r="H158" t="s">
        <v>32</v>
      </c>
      <c r="I158" t="s">
        <v>32</v>
      </c>
      <c r="J158" t="s">
        <v>28</v>
      </c>
      <c r="K158">
        <v>1.3580000000000001</v>
      </c>
      <c r="L158">
        <v>1.048</v>
      </c>
      <c r="M158" s="2" t="s">
        <v>29</v>
      </c>
      <c r="N158" s="2" t="s">
        <v>29</v>
      </c>
      <c r="O158">
        <v>0.11600000000000001</v>
      </c>
      <c r="P158" t="s">
        <v>29</v>
      </c>
      <c r="Q158" t="s">
        <v>29</v>
      </c>
      <c r="R158" t="s">
        <v>29</v>
      </c>
      <c r="S158" t="s">
        <v>153</v>
      </c>
    </row>
    <row r="159" spans="1:25" x14ac:dyDescent="0.45">
      <c r="A159" t="s">
        <v>150</v>
      </c>
      <c r="B159" t="s">
        <v>21</v>
      </c>
      <c r="C159" t="s">
        <v>22</v>
      </c>
      <c r="D159" t="s">
        <v>86</v>
      </c>
      <c r="E159">
        <v>15</v>
      </c>
      <c r="F159" t="s">
        <v>298</v>
      </c>
      <c r="G159" t="s">
        <v>299</v>
      </c>
      <c r="H159" t="s">
        <v>26</v>
      </c>
      <c r="I159" t="s">
        <v>27</v>
      </c>
      <c r="J159" t="s">
        <v>121</v>
      </c>
      <c r="K159">
        <v>2.0779999999999998</v>
      </c>
      <c r="L159" s="2" t="s">
        <v>29</v>
      </c>
      <c r="M159" s="3">
        <v>6.9790000000000001</v>
      </c>
      <c r="N159" s="3">
        <v>7.0970000000000004</v>
      </c>
      <c r="O159">
        <v>0.11799999999999999</v>
      </c>
      <c r="P159">
        <v>3.6999999999999998E-2</v>
      </c>
      <c r="Q159">
        <v>4.4999999999999998E-2</v>
      </c>
      <c r="R159">
        <v>1.8460000000000001</v>
      </c>
      <c r="S159" t="s">
        <v>153</v>
      </c>
      <c r="T159" s="2">
        <f>N159-M159</f>
        <v>0.11800000000000033</v>
      </c>
    </row>
    <row r="160" spans="1:25" x14ac:dyDescent="0.45">
      <c r="A160" t="s">
        <v>150</v>
      </c>
      <c r="B160" t="s">
        <v>21</v>
      </c>
      <c r="C160" t="s">
        <v>22</v>
      </c>
      <c r="D160" t="s">
        <v>86</v>
      </c>
      <c r="E160">
        <v>15</v>
      </c>
      <c r="F160" t="s">
        <v>300</v>
      </c>
      <c r="G160" t="s">
        <v>301</v>
      </c>
      <c r="H160" t="s">
        <v>26</v>
      </c>
      <c r="I160" t="s">
        <v>32</v>
      </c>
      <c r="J160" t="s">
        <v>121</v>
      </c>
      <c r="K160">
        <v>2.125</v>
      </c>
      <c r="L160" s="2" t="s">
        <v>29</v>
      </c>
      <c r="M160" s="3">
        <v>6.976</v>
      </c>
      <c r="N160" s="3">
        <v>7.1120000000000001</v>
      </c>
      <c r="O160" s="7">
        <v>0.13600000000000001</v>
      </c>
      <c r="P160" t="s">
        <v>29</v>
      </c>
      <c r="Q160" t="s">
        <v>29</v>
      </c>
      <c r="R160" t="s">
        <v>29</v>
      </c>
      <c r="S160" t="s">
        <v>153</v>
      </c>
      <c r="T160" s="6">
        <f>N160-M160</f>
        <v>0.13600000000000012</v>
      </c>
      <c r="V160" s="8" t="s">
        <v>335</v>
      </c>
      <c r="W160" s="8"/>
      <c r="X160" s="8"/>
      <c r="Y160" s="8"/>
    </row>
    <row r="161" spans="1:19" x14ac:dyDescent="0.45">
      <c r="A161" t="s">
        <v>150</v>
      </c>
      <c r="B161" t="s">
        <v>21</v>
      </c>
      <c r="C161" t="s">
        <v>22</v>
      </c>
      <c r="D161" t="s">
        <v>86</v>
      </c>
      <c r="E161">
        <v>15</v>
      </c>
      <c r="F161" t="s">
        <v>302</v>
      </c>
      <c r="G161" t="s">
        <v>303</v>
      </c>
      <c r="H161" t="s">
        <v>26</v>
      </c>
      <c r="I161" t="s">
        <v>27</v>
      </c>
      <c r="J161" t="s">
        <v>28</v>
      </c>
      <c r="K161">
        <v>1.1919999999999999</v>
      </c>
      <c r="L161">
        <v>1.0649999999999999</v>
      </c>
      <c r="M161" s="2" t="s">
        <v>29</v>
      </c>
      <c r="N161" s="2" t="s">
        <v>29</v>
      </c>
      <c r="O161">
        <v>0.30099999999999999</v>
      </c>
      <c r="P161">
        <v>5.8999999999999997E-2</v>
      </c>
      <c r="Q161">
        <v>6.3E-2</v>
      </c>
      <c r="R161">
        <v>2.0489999999999999</v>
      </c>
      <c r="S161" t="s">
        <v>153</v>
      </c>
    </row>
    <row r="162" spans="1:19" x14ac:dyDescent="0.45">
      <c r="A162" t="s">
        <v>150</v>
      </c>
      <c r="B162" t="s">
        <v>21</v>
      </c>
      <c r="C162" t="s">
        <v>22</v>
      </c>
      <c r="D162" t="s">
        <v>86</v>
      </c>
      <c r="E162">
        <v>15</v>
      </c>
      <c r="F162" t="s">
        <v>304</v>
      </c>
      <c r="G162" t="s">
        <v>287</v>
      </c>
      <c r="H162" t="s">
        <v>26</v>
      </c>
      <c r="I162" t="s">
        <v>32</v>
      </c>
      <c r="J162" t="s">
        <v>28</v>
      </c>
      <c r="K162">
        <v>1.26</v>
      </c>
      <c r="L162">
        <v>1.107</v>
      </c>
      <c r="M162" s="2" t="s">
        <v>29</v>
      </c>
      <c r="N162" s="2" t="s">
        <v>29</v>
      </c>
      <c r="O162">
        <v>0.183</v>
      </c>
      <c r="P162" t="s">
        <v>29</v>
      </c>
      <c r="Q162" t="s">
        <v>29</v>
      </c>
      <c r="R162" t="s">
        <v>29</v>
      </c>
      <c r="S162" t="s">
        <v>153</v>
      </c>
    </row>
    <row r="163" spans="1:19" x14ac:dyDescent="0.45">
      <c r="A163" t="s">
        <v>150</v>
      </c>
      <c r="B163" t="s">
        <v>21</v>
      </c>
      <c r="C163" t="s">
        <v>22</v>
      </c>
      <c r="D163" t="s">
        <v>89</v>
      </c>
      <c r="E163">
        <v>15</v>
      </c>
      <c r="F163" t="s">
        <v>305</v>
      </c>
      <c r="G163" t="s">
        <v>306</v>
      </c>
      <c r="H163" t="s">
        <v>32</v>
      </c>
      <c r="I163" t="s">
        <v>27</v>
      </c>
      <c r="J163" t="s">
        <v>28</v>
      </c>
      <c r="K163">
        <v>2.847</v>
      </c>
      <c r="L163">
        <v>0.90200000000000002</v>
      </c>
      <c r="M163" s="2" t="s">
        <v>29</v>
      </c>
      <c r="N163" s="2" t="s">
        <v>29</v>
      </c>
      <c r="O163">
        <v>0.17299999999999999</v>
      </c>
      <c r="P163">
        <v>3.6999999999999998E-2</v>
      </c>
      <c r="Q163">
        <v>0.04</v>
      </c>
      <c r="R163">
        <v>1.889</v>
      </c>
      <c r="S163" t="s">
        <v>153</v>
      </c>
    </row>
    <row r="164" spans="1:19" x14ac:dyDescent="0.45">
      <c r="A164" t="s">
        <v>150</v>
      </c>
      <c r="B164" t="s">
        <v>21</v>
      </c>
      <c r="C164" t="s">
        <v>22</v>
      </c>
      <c r="D164" t="s">
        <v>89</v>
      </c>
      <c r="E164">
        <v>15</v>
      </c>
      <c r="F164" t="s">
        <v>307</v>
      </c>
      <c r="G164" t="s">
        <v>308</v>
      </c>
      <c r="H164" t="s">
        <v>32</v>
      </c>
      <c r="I164" t="s">
        <v>32</v>
      </c>
      <c r="J164" t="s">
        <v>28</v>
      </c>
      <c r="K164">
        <v>2.3090000000000002</v>
      </c>
      <c r="L164">
        <v>1.111</v>
      </c>
      <c r="M164" s="2" t="s">
        <v>29</v>
      </c>
      <c r="N164" s="2" t="s">
        <v>29</v>
      </c>
      <c r="O164">
        <v>0.17199999999999999</v>
      </c>
      <c r="P164" t="s">
        <v>29</v>
      </c>
      <c r="Q164" t="s">
        <v>29</v>
      </c>
      <c r="R164" t="s">
        <v>29</v>
      </c>
      <c r="S164" t="s">
        <v>153</v>
      </c>
    </row>
    <row r="165" spans="1:19" x14ac:dyDescent="0.45">
      <c r="A165" t="s">
        <v>20</v>
      </c>
      <c r="B165" t="s">
        <v>309</v>
      </c>
      <c r="C165" t="s">
        <v>310</v>
      </c>
      <c r="D165" t="s">
        <v>311</v>
      </c>
      <c r="E165">
        <v>1</v>
      </c>
      <c r="F165" t="s">
        <v>312</v>
      </c>
      <c r="G165" t="s">
        <v>313</v>
      </c>
      <c r="H165" t="s">
        <v>26</v>
      </c>
      <c r="I165" t="s">
        <v>27</v>
      </c>
      <c r="J165" t="s">
        <v>121</v>
      </c>
      <c r="K165">
        <v>3.33</v>
      </c>
      <c r="L165">
        <v>3.145</v>
      </c>
      <c r="M165" s="2" t="s">
        <v>29</v>
      </c>
      <c r="N165" s="2" t="s">
        <v>29</v>
      </c>
      <c r="O165" t="s">
        <v>29</v>
      </c>
      <c r="P165">
        <v>6.9000000000000006E-2</v>
      </c>
      <c r="Q165">
        <v>9.4E-2</v>
      </c>
      <c r="R165" t="s">
        <v>29</v>
      </c>
      <c r="S165" t="s">
        <v>153</v>
      </c>
    </row>
    <row r="166" spans="1:19" x14ac:dyDescent="0.45">
      <c r="A166" t="s">
        <v>20</v>
      </c>
      <c r="B166" t="s">
        <v>309</v>
      </c>
      <c r="C166" t="s">
        <v>310</v>
      </c>
      <c r="D166" t="s">
        <v>311</v>
      </c>
      <c r="E166">
        <v>1</v>
      </c>
      <c r="F166" t="s">
        <v>312</v>
      </c>
      <c r="G166" t="s">
        <v>313</v>
      </c>
      <c r="H166" t="s">
        <v>26</v>
      </c>
      <c r="I166" t="s">
        <v>27</v>
      </c>
      <c r="J166" t="s">
        <v>28</v>
      </c>
      <c r="K166">
        <v>3.2789999999999999</v>
      </c>
      <c r="L166">
        <v>2.8929999999999998</v>
      </c>
      <c r="M166" s="2" t="s">
        <v>29</v>
      </c>
      <c r="N166" s="2" t="s">
        <v>29</v>
      </c>
      <c r="O166" t="s">
        <v>29</v>
      </c>
      <c r="P166" t="s">
        <v>29</v>
      </c>
      <c r="Q166" t="s">
        <v>29</v>
      </c>
      <c r="R166" t="s">
        <v>29</v>
      </c>
      <c r="S166" t="s">
        <v>153</v>
      </c>
    </row>
    <row r="167" spans="1:19" x14ac:dyDescent="0.45">
      <c r="A167" t="s">
        <v>20</v>
      </c>
      <c r="B167" t="s">
        <v>309</v>
      </c>
      <c r="C167" t="s">
        <v>310</v>
      </c>
      <c r="D167" t="s">
        <v>311</v>
      </c>
      <c r="E167">
        <v>1</v>
      </c>
      <c r="F167" t="s">
        <v>312</v>
      </c>
      <c r="G167" t="s">
        <v>314</v>
      </c>
      <c r="H167" t="s">
        <v>26</v>
      </c>
      <c r="I167" t="s">
        <v>32</v>
      </c>
      <c r="J167" t="s">
        <v>121</v>
      </c>
      <c r="K167">
        <v>3.3220000000000001</v>
      </c>
      <c r="L167">
        <v>3.3079999999999998</v>
      </c>
      <c r="M167" s="2" t="s">
        <v>29</v>
      </c>
      <c r="N167" s="2" t="s">
        <v>29</v>
      </c>
      <c r="O167" t="s">
        <v>29</v>
      </c>
      <c r="P167" t="s">
        <v>29</v>
      </c>
      <c r="Q167" t="s">
        <v>29</v>
      </c>
      <c r="R167" t="s">
        <v>29</v>
      </c>
      <c r="S167" t="s">
        <v>153</v>
      </c>
    </row>
    <row r="168" spans="1:19" x14ac:dyDescent="0.45">
      <c r="A168" t="s">
        <v>20</v>
      </c>
      <c r="B168" t="s">
        <v>309</v>
      </c>
      <c r="C168" t="s">
        <v>310</v>
      </c>
      <c r="D168" t="s">
        <v>311</v>
      </c>
      <c r="E168">
        <v>1</v>
      </c>
      <c r="F168" t="s">
        <v>312</v>
      </c>
      <c r="G168" t="s">
        <v>314</v>
      </c>
      <c r="H168" t="s">
        <v>26</v>
      </c>
      <c r="I168" t="s">
        <v>32</v>
      </c>
      <c r="J168" t="s">
        <v>28</v>
      </c>
      <c r="K168">
        <v>3.3260000000000001</v>
      </c>
      <c r="L168">
        <v>3.202</v>
      </c>
      <c r="M168" s="2" t="s">
        <v>29</v>
      </c>
      <c r="N168" s="2" t="s">
        <v>29</v>
      </c>
      <c r="O168" t="s">
        <v>29</v>
      </c>
      <c r="P168" t="s">
        <v>29</v>
      </c>
      <c r="Q168" t="s">
        <v>29</v>
      </c>
      <c r="R168" t="s">
        <v>29</v>
      </c>
      <c r="S168" t="s">
        <v>153</v>
      </c>
    </row>
    <row r="169" spans="1:19" x14ac:dyDescent="0.45">
      <c r="A169" t="s">
        <v>150</v>
      </c>
      <c r="B169" t="s">
        <v>309</v>
      </c>
      <c r="C169" t="s">
        <v>310</v>
      </c>
      <c r="D169" t="s">
        <v>33</v>
      </c>
      <c r="E169">
        <v>2</v>
      </c>
      <c r="F169" t="s">
        <v>315</v>
      </c>
      <c r="G169" t="s">
        <v>316</v>
      </c>
      <c r="H169" t="s">
        <v>26</v>
      </c>
      <c r="I169" t="s">
        <v>27</v>
      </c>
      <c r="J169" t="s">
        <v>121</v>
      </c>
      <c r="K169">
        <v>2.544</v>
      </c>
      <c r="L169">
        <v>2.8610000000000002</v>
      </c>
      <c r="M169" s="2" t="s">
        <v>29</v>
      </c>
      <c r="N169" s="2" t="s">
        <v>29</v>
      </c>
      <c r="O169" t="s">
        <v>29</v>
      </c>
      <c r="P169">
        <v>6.3E-2</v>
      </c>
      <c r="Q169">
        <v>6.9000000000000006E-2</v>
      </c>
      <c r="R169" t="s">
        <v>29</v>
      </c>
      <c r="S169" t="s">
        <v>153</v>
      </c>
    </row>
    <row r="170" spans="1:19" x14ac:dyDescent="0.45">
      <c r="A170" t="s">
        <v>150</v>
      </c>
      <c r="B170" t="s">
        <v>309</v>
      </c>
      <c r="C170" t="s">
        <v>310</v>
      </c>
      <c r="D170" t="s">
        <v>33</v>
      </c>
      <c r="E170">
        <v>2</v>
      </c>
      <c r="F170" t="s">
        <v>315</v>
      </c>
      <c r="G170" t="s">
        <v>316</v>
      </c>
      <c r="H170" t="s">
        <v>26</v>
      </c>
      <c r="I170" t="s">
        <v>27</v>
      </c>
      <c r="J170" t="s">
        <v>28</v>
      </c>
      <c r="K170">
        <v>2.411</v>
      </c>
      <c r="L170">
        <v>2.7490000000000001</v>
      </c>
      <c r="M170" s="2" t="s">
        <v>29</v>
      </c>
      <c r="N170" s="2" t="s">
        <v>29</v>
      </c>
      <c r="O170" t="s">
        <v>29</v>
      </c>
      <c r="P170" t="s">
        <v>29</v>
      </c>
      <c r="Q170" t="s">
        <v>29</v>
      </c>
      <c r="R170" t="s">
        <v>29</v>
      </c>
      <c r="S170" t="s">
        <v>153</v>
      </c>
    </row>
    <row r="171" spans="1:19" x14ac:dyDescent="0.45">
      <c r="A171" t="s">
        <v>150</v>
      </c>
      <c r="B171" t="s">
        <v>309</v>
      </c>
      <c r="C171" t="s">
        <v>310</v>
      </c>
      <c r="D171" t="s">
        <v>33</v>
      </c>
      <c r="E171">
        <v>2</v>
      </c>
      <c r="F171" t="s">
        <v>315</v>
      </c>
      <c r="G171" t="s">
        <v>316</v>
      </c>
      <c r="H171" t="s">
        <v>26</v>
      </c>
      <c r="I171" t="s">
        <v>32</v>
      </c>
      <c r="J171" t="s">
        <v>121</v>
      </c>
      <c r="K171">
        <v>2.5409999999999999</v>
      </c>
      <c r="L171">
        <v>2.786</v>
      </c>
      <c r="M171" s="2" t="s">
        <v>29</v>
      </c>
      <c r="N171" s="2" t="s">
        <v>29</v>
      </c>
      <c r="O171" t="s">
        <v>29</v>
      </c>
      <c r="P171" t="s">
        <v>29</v>
      </c>
      <c r="Q171" t="s">
        <v>29</v>
      </c>
      <c r="R171" t="s">
        <v>29</v>
      </c>
      <c r="S171" t="s">
        <v>153</v>
      </c>
    </row>
    <row r="172" spans="1:19" x14ac:dyDescent="0.45">
      <c r="A172" t="s">
        <v>150</v>
      </c>
      <c r="B172" t="s">
        <v>309</v>
      </c>
      <c r="C172" t="s">
        <v>310</v>
      </c>
      <c r="D172" t="s">
        <v>33</v>
      </c>
      <c r="E172">
        <v>2</v>
      </c>
      <c r="F172" t="s">
        <v>315</v>
      </c>
      <c r="G172" t="s">
        <v>316</v>
      </c>
      <c r="H172" t="s">
        <v>26</v>
      </c>
      <c r="I172" t="s">
        <v>32</v>
      </c>
      <c r="J172" t="s">
        <v>28</v>
      </c>
      <c r="K172">
        <v>2.5609999999999999</v>
      </c>
      <c r="L172">
        <v>2.7090000000000001</v>
      </c>
      <c r="M172" s="2" t="s">
        <v>29</v>
      </c>
      <c r="N172" s="2" t="s">
        <v>29</v>
      </c>
      <c r="O172" t="s">
        <v>29</v>
      </c>
      <c r="P172" t="s">
        <v>29</v>
      </c>
      <c r="Q172" t="s">
        <v>29</v>
      </c>
      <c r="R172" t="s">
        <v>29</v>
      </c>
      <c r="S172" t="s">
        <v>153</v>
      </c>
    </row>
    <row r="173" spans="1:19" x14ac:dyDescent="0.45">
      <c r="A173" t="s">
        <v>20</v>
      </c>
      <c r="B173" t="s">
        <v>309</v>
      </c>
      <c r="C173" t="s">
        <v>310</v>
      </c>
      <c r="D173" t="s">
        <v>317</v>
      </c>
      <c r="E173">
        <v>3</v>
      </c>
      <c r="F173" t="s">
        <v>312</v>
      </c>
      <c r="G173" t="s">
        <v>313</v>
      </c>
      <c r="H173" t="s">
        <v>26</v>
      </c>
      <c r="I173" t="s">
        <v>27</v>
      </c>
      <c r="J173" t="s">
        <v>121</v>
      </c>
      <c r="K173">
        <v>2.6659999999999999</v>
      </c>
      <c r="L173">
        <v>2.6030000000000002</v>
      </c>
      <c r="M173" s="2" t="s">
        <v>29</v>
      </c>
      <c r="N173" s="2" t="s">
        <v>29</v>
      </c>
      <c r="O173" t="s">
        <v>29</v>
      </c>
      <c r="P173">
        <v>7.4999999999999997E-2</v>
      </c>
      <c r="Q173">
        <v>8.1000000000000003E-2</v>
      </c>
      <c r="R173" t="s">
        <v>29</v>
      </c>
      <c r="S173" t="s">
        <v>153</v>
      </c>
    </row>
    <row r="174" spans="1:19" x14ac:dyDescent="0.45">
      <c r="A174" t="s">
        <v>20</v>
      </c>
      <c r="B174" t="s">
        <v>309</v>
      </c>
      <c r="C174" t="s">
        <v>310</v>
      </c>
      <c r="D174" t="s">
        <v>317</v>
      </c>
      <c r="E174">
        <v>3</v>
      </c>
      <c r="F174" t="s">
        <v>312</v>
      </c>
      <c r="G174" t="s">
        <v>313</v>
      </c>
      <c r="H174" t="s">
        <v>26</v>
      </c>
      <c r="I174" t="s">
        <v>27</v>
      </c>
      <c r="J174" t="s">
        <v>28</v>
      </c>
      <c r="K174">
        <v>2.5750000000000002</v>
      </c>
      <c r="L174">
        <v>2.3980000000000001</v>
      </c>
      <c r="M174" s="2" t="s">
        <v>29</v>
      </c>
      <c r="N174" s="2" t="s">
        <v>29</v>
      </c>
      <c r="O174" t="s">
        <v>29</v>
      </c>
      <c r="P174" t="s">
        <v>29</v>
      </c>
      <c r="Q174" t="s">
        <v>29</v>
      </c>
      <c r="R174" t="s">
        <v>29</v>
      </c>
      <c r="S174" t="s">
        <v>153</v>
      </c>
    </row>
    <row r="175" spans="1:19" x14ac:dyDescent="0.45">
      <c r="A175" t="s">
        <v>20</v>
      </c>
      <c r="B175" t="s">
        <v>309</v>
      </c>
      <c r="C175" t="s">
        <v>310</v>
      </c>
      <c r="D175" t="s">
        <v>317</v>
      </c>
      <c r="E175">
        <v>3</v>
      </c>
      <c r="F175" t="s">
        <v>312</v>
      </c>
      <c r="G175" t="s">
        <v>318</v>
      </c>
      <c r="H175" t="s">
        <v>26</v>
      </c>
      <c r="I175" t="s">
        <v>32</v>
      </c>
      <c r="J175" t="s">
        <v>121</v>
      </c>
      <c r="K175">
        <v>2.5680000000000001</v>
      </c>
      <c r="L175">
        <v>2.6139999999999999</v>
      </c>
      <c r="M175" s="2" t="s">
        <v>29</v>
      </c>
      <c r="N175" s="2" t="s">
        <v>29</v>
      </c>
      <c r="O175" t="s">
        <v>29</v>
      </c>
      <c r="P175" t="s">
        <v>29</v>
      </c>
      <c r="Q175" t="s">
        <v>29</v>
      </c>
      <c r="R175" t="s">
        <v>29</v>
      </c>
      <c r="S175" t="s">
        <v>153</v>
      </c>
    </row>
    <row r="176" spans="1:19" x14ac:dyDescent="0.45">
      <c r="A176" t="s">
        <v>20</v>
      </c>
      <c r="B176" t="s">
        <v>309</v>
      </c>
      <c r="C176" t="s">
        <v>310</v>
      </c>
      <c r="D176" t="s">
        <v>317</v>
      </c>
      <c r="E176">
        <v>3</v>
      </c>
      <c r="F176" t="s">
        <v>312</v>
      </c>
      <c r="G176" t="s">
        <v>314</v>
      </c>
      <c r="H176" t="s">
        <v>26</v>
      </c>
      <c r="I176" t="s">
        <v>32</v>
      </c>
      <c r="J176" t="s">
        <v>28</v>
      </c>
      <c r="K176">
        <v>2.6179999999999999</v>
      </c>
      <c r="L176">
        <v>2.6520000000000001</v>
      </c>
      <c r="M176" s="2" t="s">
        <v>29</v>
      </c>
      <c r="N176" s="2" t="s">
        <v>29</v>
      </c>
      <c r="O176" t="s">
        <v>29</v>
      </c>
      <c r="P176" t="s">
        <v>29</v>
      </c>
      <c r="Q176" t="s">
        <v>29</v>
      </c>
      <c r="R176" t="s">
        <v>29</v>
      </c>
      <c r="S176" t="s">
        <v>153</v>
      </c>
    </row>
    <row r="177" spans="1:20" x14ac:dyDescent="0.45">
      <c r="A177" t="s">
        <v>20</v>
      </c>
      <c r="B177" t="s">
        <v>309</v>
      </c>
      <c r="C177" t="s">
        <v>310</v>
      </c>
      <c r="D177" t="s">
        <v>319</v>
      </c>
      <c r="E177">
        <v>4</v>
      </c>
      <c r="F177" t="s">
        <v>312</v>
      </c>
      <c r="G177" t="s">
        <v>313</v>
      </c>
      <c r="H177" t="s">
        <v>26</v>
      </c>
      <c r="I177" t="s">
        <v>27</v>
      </c>
      <c r="J177" t="s">
        <v>121</v>
      </c>
      <c r="K177">
        <v>3.718</v>
      </c>
      <c r="L177">
        <v>3.786</v>
      </c>
      <c r="M177" s="2" t="s">
        <v>29</v>
      </c>
      <c r="N177" s="2" t="s">
        <v>29</v>
      </c>
      <c r="O177" t="s">
        <v>29</v>
      </c>
      <c r="P177">
        <v>0.105</v>
      </c>
      <c r="Q177">
        <v>9.7000000000000003E-2</v>
      </c>
      <c r="R177" t="s">
        <v>29</v>
      </c>
      <c r="S177" t="s">
        <v>153</v>
      </c>
    </row>
    <row r="178" spans="1:20" x14ac:dyDescent="0.45">
      <c r="A178" t="s">
        <v>20</v>
      </c>
      <c r="B178" t="s">
        <v>309</v>
      </c>
      <c r="C178" t="s">
        <v>310</v>
      </c>
      <c r="D178" t="s">
        <v>319</v>
      </c>
      <c r="E178">
        <v>4</v>
      </c>
      <c r="F178" t="s">
        <v>312</v>
      </c>
      <c r="G178" t="s">
        <v>313</v>
      </c>
      <c r="H178" t="s">
        <v>26</v>
      </c>
      <c r="I178" t="s">
        <v>27</v>
      </c>
      <c r="J178" t="s">
        <v>28</v>
      </c>
      <c r="K178">
        <v>4.2279999999999998</v>
      </c>
      <c r="L178">
        <v>3.8010000000000002</v>
      </c>
      <c r="M178" s="2" t="s">
        <v>29</v>
      </c>
      <c r="N178" s="2" t="s">
        <v>29</v>
      </c>
      <c r="O178" t="s">
        <v>29</v>
      </c>
      <c r="P178" t="s">
        <v>29</v>
      </c>
      <c r="Q178" t="s">
        <v>29</v>
      </c>
      <c r="R178" t="s">
        <v>29</v>
      </c>
      <c r="S178" t="s">
        <v>153</v>
      </c>
    </row>
    <row r="179" spans="1:20" x14ac:dyDescent="0.45">
      <c r="A179" t="s">
        <v>20</v>
      </c>
      <c r="B179" t="s">
        <v>309</v>
      </c>
      <c r="C179" t="s">
        <v>310</v>
      </c>
      <c r="D179" t="s">
        <v>319</v>
      </c>
      <c r="E179">
        <v>4</v>
      </c>
      <c r="F179" t="s">
        <v>312</v>
      </c>
      <c r="G179" t="s">
        <v>314</v>
      </c>
      <c r="H179" t="s">
        <v>26</v>
      </c>
      <c r="I179" t="s">
        <v>32</v>
      </c>
      <c r="J179" t="s">
        <v>121</v>
      </c>
      <c r="K179">
        <v>3.6549999999999998</v>
      </c>
      <c r="L179">
        <v>3.9860000000000002</v>
      </c>
      <c r="M179" s="2" t="s">
        <v>29</v>
      </c>
      <c r="N179" s="2" t="s">
        <v>29</v>
      </c>
      <c r="O179" t="s">
        <v>29</v>
      </c>
      <c r="P179" t="s">
        <v>29</v>
      </c>
      <c r="Q179" t="s">
        <v>29</v>
      </c>
      <c r="R179" t="s">
        <v>29</v>
      </c>
      <c r="S179" t="s">
        <v>153</v>
      </c>
    </row>
    <row r="180" spans="1:20" x14ac:dyDescent="0.45">
      <c r="A180" t="s">
        <v>20</v>
      </c>
      <c r="B180" t="s">
        <v>309</v>
      </c>
      <c r="C180" t="s">
        <v>310</v>
      </c>
      <c r="D180" t="s">
        <v>319</v>
      </c>
      <c r="E180">
        <v>4</v>
      </c>
      <c r="F180" t="s">
        <v>312</v>
      </c>
      <c r="G180" t="s">
        <v>314</v>
      </c>
      <c r="H180" t="s">
        <v>26</v>
      </c>
      <c r="I180" t="s">
        <v>32</v>
      </c>
      <c r="J180" t="s">
        <v>28</v>
      </c>
      <c r="K180">
        <v>4.6360000000000001</v>
      </c>
      <c r="L180">
        <v>4.4589999999999996</v>
      </c>
      <c r="M180" s="2" t="s">
        <v>29</v>
      </c>
      <c r="N180" s="2" t="s">
        <v>29</v>
      </c>
      <c r="O180" t="s">
        <v>29</v>
      </c>
      <c r="P180" t="s">
        <v>29</v>
      </c>
      <c r="Q180" t="s">
        <v>29</v>
      </c>
      <c r="R180" t="s">
        <v>29</v>
      </c>
      <c r="S180" t="s">
        <v>153</v>
      </c>
    </row>
    <row r="181" spans="1:20" x14ac:dyDescent="0.45">
      <c r="A181" t="s">
        <v>150</v>
      </c>
      <c r="B181" t="s">
        <v>309</v>
      </c>
      <c r="C181" t="s">
        <v>310</v>
      </c>
      <c r="D181" t="s">
        <v>47</v>
      </c>
      <c r="E181">
        <v>5</v>
      </c>
      <c r="F181" t="s">
        <v>312</v>
      </c>
      <c r="G181" t="s">
        <v>320</v>
      </c>
      <c r="H181" t="s">
        <v>26</v>
      </c>
      <c r="I181" t="s">
        <v>27</v>
      </c>
      <c r="J181" t="s">
        <v>121</v>
      </c>
      <c r="K181">
        <v>5.3739999999999997</v>
      </c>
      <c r="L181">
        <v>5.4139999999999997</v>
      </c>
      <c r="M181" s="2" t="s">
        <v>29</v>
      </c>
      <c r="N181" s="2" t="s">
        <v>29</v>
      </c>
      <c r="O181" t="s">
        <v>29</v>
      </c>
      <c r="P181">
        <v>8.6999999999999994E-2</v>
      </c>
      <c r="Q181">
        <v>5.6000000000000001E-2</v>
      </c>
      <c r="R181" t="s">
        <v>29</v>
      </c>
      <c r="S181" t="s">
        <v>153</v>
      </c>
    </row>
    <row r="182" spans="1:20" x14ac:dyDescent="0.45">
      <c r="A182" t="s">
        <v>150</v>
      </c>
      <c r="B182" t="s">
        <v>309</v>
      </c>
      <c r="C182" t="s">
        <v>310</v>
      </c>
      <c r="D182" t="s">
        <v>47</v>
      </c>
      <c r="E182">
        <v>5</v>
      </c>
      <c r="F182" t="s">
        <v>312</v>
      </c>
      <c r="G182" t="s">
        <v>320</v>
      </c>
      <c r="H182" t="s">
        <v>26</v>
      </c>
      <c r="I182" t="s">
        <v>27</v>
      </c>
      <c r="J182" t="s">
        <v>28</v>
      </c>
      <c r="K182">
        <v>4.9749999999999996</v>
      </c>
      <c r="L182">
        <v>4.5410000000000004</v>
      </c>
      <c r="M182" s="2" t="s">
        <v>29</v>
      </c>
      <c r="N182" s="2" t="s">
        <v>29</v>
      </c>
      <c r="O182" t="s">
        <v>29</v>
      </c>
      <c r="P182" t="s">
        <v>29</v>
      </c>
      <c r="Q182" t="s">
        <v>29</v>
      </c>
      <c r="R182" t="s">
        <v>29</v>
      </c>
      <c r="S182" t="s">
        <v>153</v>
      </c>
    </row>
    <row r="183" spans="1:20" x14ac:dyDescent="0.45">
      <c r="A183" t="s">
        <v>150</v>
      </c>
      <c r="B183" t="s">
        <v>309</v>
      </c>
      <c r="C183" t="s">
        <v>310</v>
      </c>
      <c r="D183" t="s">
        <v>47</v>
      </c>
      <c r="E183">
        <v>5</v>
      </c>
      <c r="F183" t="s">
        <v>312</v>
      </c>
      <c r="G183" t="s">
        <v>321</v>
      </c>
      <c r="H183" t="s">
        <v>26</v>
      </c>
      <c r="I183" t="s">
        <v>32</v>
      </c>
      <c r="J183" t="s">
        <v>121</v>
      </c>
      <c r="K183">
        <v>5.0199999999999996</v>
      </c>
      <c r="L183">
        <v>5.2640000000000002</v>
      </c>
      <c r="M183" s="2" t="s">
        <v>29</v>
      </c>
      <c r="N183" s="2" t="s">
        <v>29</v>
      </c>
      <c r="O183" t="s">
        <v>29</v>
      </c>
      <c r="P183" t="s">
        <v>29</v>
      </c>
      <c r="Q183" t="s">
        <v>29</v>
      </c>
      <c r="R183" t="s">
        <v>29</v>
      </c>
      <c r="S183" t="s">
        <v>153</v>
      </c>
    </row>
    <row r="184" spans="1:20" x14ac:dyDescent="0.45">
      <c r="A184" t="s">
        <v>150</v>
      </c>
      <c r="B184" t="s">
        <v>309</v>
      </c>
      <c r="C184" t="s">
        <v>310</v>
      </c>
      <c r="D184" t="s">
        <v>47</v>
      </c>
      <c r="E184">
        <v>5</v>
      </c>
      <c r="F184" t="s">
        <v>312</v>
      </c>
      <c r="G184" t="s">
        <v>321</v>
      </c>
      <c r="H184" t="s">
        <v>26</v>
      </c>
      <c r="I184" t="s">
        <v>32</v>
      </c>
      <c r="J184" t="s">
        <v>28</v>
      </c>
      <c r="K184">
        <v>5.0940000000000003</v>
      </c>
      <c r="L184">
        <v>4.9409999999999998</v>
      </c>
      <c r="M184" s="2" t="s">
        <v>29</v>
      </c>
      <c r="N184" s="2" t="s">
        <v>29</v>
      </c>
      <c r="O184" t="s">
        <v>29</v>
      </c>
      <c r="P184" t="s">
        <v>29</v>
      </c>
      <c r="Q184" t="s">
        <v>29</v>
      </c>
      <c r="R184" t="s">
        <v>29</v>
      </c>
      <c r="S184" t="s">
        <v>153</v>
      </c>
    </row>
    <row r="185" spans="1:20" x14ac:dyDescent="0.45">
      <c r="A185" t="s">
        <v>150</v>
      </c>
      <c r="B185" t="s">
        <v>309</v>
      </c>
      <c r="C185" t="s">
        <v>310</v>
      </c>
      <c r="D185" t="s">
        <v>51</v>
      </c>
      <c r="E185">
        <v>6</v>
      </c>
      <c r="F185" t="s">
        <v>312</v>
      </c>
      <c r="G185" t="s">
        <v>320</v>
      </c>
      <c r="H185" t="s">
        <v>26</v>
      </c>
      <c r="I185" t="s">
        <v>27</v>
      </c>
      <c r="J185" t="s">
        <v>121</v>
      </c>
      <c r="K185">
        <v>3.16</v>
      </c>
      <c r="L185">
        <v>3.06</v>
      </c>
      <c r="M185" s="2" t="s">
        <v>29</v>
      </c>
      <c r="N185" s="2" t="s">
        <v>29</v>
      </c>
      <c r="O185" t="s">
        <v>29</v>
      </c>
      <c r="P185">
        <v>0.05</v>
      </c>
      <c r="Q185">
        <v>5.3999999999999999E-2</v>
      </c>
      <c r="R185" t="s">
        <v>29</v>
      </c>
      <c r="S185" t="s">
        <v>153</v>
      </c>
    </row>
    <row r="186" spans="1:20" x14ac:dyDescent="0.45">
      <c r="A186" t="s">
        <v>150</v>
      </c>
      <c r="B186" t="s">
        <v>309</v>
      </c>
      <c r="C186" t="s">
        <v>310</v>
      </c>
      <c r="D186" t="s">
        <v>51</v>
      </c>
      <c r="E186">
        <v>6</v>
      </c>
      <c r="F186" t="s">
        <v>312</v>
      </c>
      <c r="G186" t="s">
        <v>320</v>
      </c>
      <c r="H186" t="s">
        <v>26</v>
      </c>
      <c r="I186" t="s">
        <v>27</v>
      </c>
      <c r="J186" t="s">
        <v>28</v>
      </c>
      <c r="K186">
        <v>3.431</v>
      </c>
      <c r="L186">
        <v>3.0720000000000001</v>
      </c>
      <c r="M186" s="2" t="s">
        <v>29</v>
      </c>
      <c r="N186" s="2" t="s">
        <v>29</v>
      </c>
      <c r="O186" t="s">
        <v>29</v>
      </c>
      <c r="P186" t="s">
        <v>29</v>
      </c>
      <c r="Q186" t="s">
        <v>29</v>
      </c>
      <c r="R186" t="s">
        <v>29</v>
      </c>
      <c r="S186" t="s">
        <v>153</v>
      </c>
    </row>
    <row r="187" spans="1:20" x14ac:dyDescent="0.45">
      <c r="A187" t="s">
        <v>150</v>
      </c>
      <c r="B187" t="s">
        <v>309</v>
      </c>
      <c r="C187" t="s">
        <v>310</v>
      </c>
      <c r="D187" t="s">
        <v>51</v>
      </c>
      <c r="E187">
        <v>6</v>
      </c>
      <c r="F187" t="s">
        <v>312</v>
      </c>
      <c r="G187" t="s">
        <v>321</v>
      </c>
      <c r="H187" t="s">
        <v>26</v>
      </c>
      <c r="I187" t="s">
        <v>32</v>
      </c>
      <c r="J187" t="s">
        <v>121</v>
      </c>
      <c r="K187">
        <v>3.3719999999999999</v>
      </c>
      <c r="L187">
        <v>3.637</v>
      </c>
      <c r="M187" s="2" t="s">
        <v>29</v>
      </c>
      <c r="N187" s="2" t="s">
        <v>29</v>
      </c>
      <c r="O187" t="s">
        <v>29</v>
      </c>
      <c r="P187" t="s">
        <v>29</v>
      </c>
      <c r="Q187" t="s">
        <v>29</v>
      </c>
      <c r="R187" t="s">
        <v>29</v>
      </c>
      <c r="S187" t="s">
        <v>153</v>
      </c>
    </row>
    <row r="188" spans="1:20" x14ac:dyDescent="0.45">
      <c r="A188" t="s">
        <v>150</v>
      </c>
      <c r="B188" t="s">
        <v>309</v>
      </c>
      <c r="C188" t="s">
        <v>310</v>
      </c>
      <c r="D188" t="s">
        <v>51</v>
      </c>
      <c r="E188">
        <v>6</v>
      </c>
      <c r="F188" t="s">
        <v>312</v>
      </c>
      <c r="G188" t="s">
        <v>321</v>
      </c>
      <c r="H188" t="s">
        <v>26</v>
      </c>
      <c r="I188" t="s">
        <v>32</v>
      </c>
      <c r="J188" t="s">
        <v>28</v>
      </c>
      <c r="K188">
        <v>3.512</v>
      </c>
      <c r="L188">
        <v>3.411</v>
      </c>
      <c r="M188" s="2" t="s">
        <v>29</v>
      </c>
      <c r="N188" s="2" t="s">
        <v>29</v>
      </c>
      <c r="O188" t="s">
        <v>29</v>
      </c>
      <c r="P188" t="s">
        <v>29</v>
      </c>
      <c r="Q188" t="s">
        <v>29</v>
      </c>
      <c r="R188" t="s">
        <v>29</v>
      </c>
      <c r="S188" t="s">
        <v>153</v>
      </c>
    </row>
    <row r="189" spans="1:20" x14ac:dyDescent="0.45">
      <c r="A189" t="s">
        <v>150</v>
      </c>
      <c r="B189" t="s">
        <v>309</v>
      </c>
      <c r="C189" t="s">
        <v>310</v>
      </c>
      <c r="D189" t="s">
        <v>56</v>
      </c>
      <c r="E189">
        <v>7</v>
      </c>
      <c r="F189" t="s">
        <v>312</v>
      </c>
      <c r="G189" t="s">
        <v>320</v>
      </c>
      <c r="H189" t="s">
        <v>26</v>
      </c>
      <c r="I189" t="s">
        <v>27</v>
      </c>
      <c r="J189" t="s">
        <v>121</v>
      </c>
      <c r="K189">
        <v>3.222</v>
      </c>
      <c r="L189">
        <v>3.2549999999999999</v>
      </c>
      <c r="M189" s="2" t="s">
        <v>29</v>
      </c>
      <c r="N189" s="2" t="s">
        <v>29</v>
      </c>
      <c r="O189" t="s">
        <v>29</v>
      </c>
      <c r="P189">
        <v>7.0000000000000007E-2</v>
      </c>
      <c r="Q189">
        <v>7.2999999999999995E-2</v>
      </c>
      <c r="R189" t="s">
        <v>29</v>
      </c>
      <c r="S189" t="s">
        <v>153</v>
      </c>
      <c r="T189" t="s">
        <v>322</v>
      </c>
    </row>
    <row r="190" spans="1:20" x14ac:dyDescent="0.45">
      <c r="A190" t="s">
        <v>150</v>
      </c>
      <c r="B190" t="s">
        <v>309</v>
      </c>
      <c r="C190" t="s">
        <v>310</v>
      </c>
      <c r="D190" t="s">
        <v>56</v>
      </c>
      <c r="E190">
        <v>7</v>
      </c>
      <c r="F190" t="s">
        <v>312</v>
      </c>
      <c r="G190" t="s">
        <v>320</v>
      </c>
      <c r="H190" t="s">
        <v>26</v>
      </c>
      <c r="I190" t="s">
        <v>27</v>
      </c>
      <c r="J190" t="s">
        <v>28</v>
      </c>
      <c r="K190">
        <v>3.3050000000000002</v>
      </c>
      <c r="L190">
        <v>3.028</v>
      </c>
      <c r="M190" s="2" t="s">
        <v>29</v>
      </c>
      <c r="N190" s="2" t="s">
        <v>29</v>
      </c>
      <c r="O190" t="s">
        <v>29</v>
      </c>
      <c r="P190" t="s">
        <v>29</v>
      </c>
      <c r="Q190" t="s">
        <v>29</v>
      </c>
      <c r="R190" t="s">
        <v>29</v>
      </c>
      <c r="S190" t="s">
        <v>153</v>
      </c>
    </row>
    <row r="191" spans="1:20" x14ac:dyDescent="0.45">
      <c r="A191" t="s">
        <v>150</v>
      </c>
      <c r="B191" t="s">
        <v>309</v>
      </c>
      <c r="C191" t="s">
        <v>310</v>
      </c>
      <c r="D191" t="s">
        <v>56</v>
      </c>
      <c r="E191">
        <v>7</v>
      </c>
      <c r="F191" t="s">
        <v>312</v>
      </c>
      <c r="G191" t="s">
        <v>321</v>
      </c>
      <c r="H191" t="s">
        <v>26</v>
      </c>
      <c r="I191" t="s">
        <v>32</v>
      </c>
      <c r="J191" t="s">
        <v>121</v>
      </c>
      <c r="K191">
        <v>3.1589999999999998</v>
      </c>
      <c r="L191">
        <v>3.5030000000000001</v>
      </c>
      <c r="M191" s="2" t="s">
        <v>29</v>
      </c>
      <c r="N191" s="2" t="s">
        <v>29</v>
      </c>
      <c r="O191" t="s">
        <v>29</v>
      </c>
      <c r="P191" t="s">
        <v>29</v>
      </c>
      <c r="Q191" t="s">
        <v>29</v>
      </c>
      <c r="R191" t="s">
        <v>29</v>
      </c>
      <c r="S191" t="s">
        <v>153</v>
      </c>
    </row>
    <row r="192" spans="1:20" x14ac:dyDescent="0.45">
      <c r="A192" t="s">
        <v>150</v>
      </c>
      <c r="B192" t="s">
        <v>309</v>
      </c>
      <c r="C192" t="s">
        <v>310</v>
      </c>
      <c r="D192" t="s">
        <v>56</v>
      </c>
      <c r="E192">
        <v>7</v>
      </c>
      <c r="F192" t="s">
        <v>312</v>
      </c>
      <c r="G192" t="s">
        <v>321</v>
      </c>
      <c r="H192" t="s">
        <v>26</v>
      </c>
      <c r="I192" t="s">
        <v>32</v>
      </c>
      <c r="J192" t="s">
        <v>28</v>
      </c>
      <c r="K192">
        <v>3.2450000000000001</v>
      </c>
      <c r="L192">
        <v>3.3090000000000002</v>
      </c>
      <c r="M192" s="2" t="s">
        <v>29</v>
      </c>
      <c r="N192" s="2" t="s">
        <v>29</v>
      </c>
      <c r="O192" t="s">
        <v>29</v>
      </c>
      <c r="P192" t="s">
        <v>29</v>
      </c>
      <c r="Q192" t="s">
        <v>29</v>
      </c>
      <c r="R192" t="s">
        <v>29</v>
      </c>
      <c r="S192" t="s">
        <v>153</v>
      </c>
    </row>
    <row r="193" spans="1:19" x14ac:dyDescent="0.45">
      <c r="A193" t="s">
        <v>150</v>
      </c>
      <c r="B193" t="s">
        <v>309</v>
      </c>
      <c r="C193" t="s">
        <v>310</v>
      </c>
      <c r="D193" t="s">
        <v>59</v>
      </c>
      <c r="E193">
        <v>8</v>
      </c>
      <c r="F193" t="s">
        <v>315</v>
      </c>
      <c r="G193" t="s">
        <v>316</v>
      </c>
      <c r="H193" t="s">
        <v>26</v>
      </c>
      <c r="I193" t="s">
        <v>27</v>
      </c>
      <c r="J193" t="s">
        <v>121</v>
      </c>
      <c r="K193">
        <v>3.1749999999999998</v>
      </c>
      <c r="L193">
        <v>3.5249999999999999</v>
      </c>
      <c r="M193" s="2" t="s">
        <v>29</v>
      </c>
      <c r="N193" s="2" t="s">
        <v>29</v>
      </c>
      <c r="O193" t="s">
        <v>29</v>
      </c>
      <c r="P193">
        <v>6.5000000000000002E-2</v>
      </c>
      <c r="Q193">
        <v>6.6000000000000003E-2</v>
      </c>
      <c r="R193" t="s">
        <v>29</v>
      </c>
      <c r="S193" t="s">
        <v>153</v>
      </c>
    </row>
    <row r="194" spans="1:19" x14ac:dyDescent="0.45">
      <c r="A194" t="s">
        <v>150</v>
      </c>
      <c r="B194" t="s">
        <v>309</v>
      </c>
      <c r="C194" t="s">
        <v>310</v>
      </c>
      <c r="D194" t="s">
        <v>59</v>
      </c>
      <c r="E194">
        <v>8</v>
      </c>
      <c r="F194" t="s">
        <v>315</v>
      </c>
      <c r="G194" t="s">
        <v>316</v>
      </c>
      <c r="H194" t="s">
        <v>26</v>
      </c>
      <c r="I194" t="s">
        <v>27</v>
      </c>
      <c r="J194" t="s">
        <v>28</v>
      </c>
      <c r="K194">
        <v>2.5840000000000001</v>
      </c>
      <c r="L194">
        <v>2.907</v>
      </c>
      <c r="M194" s="2" t="s">
        <v>29</v>
      </c>
      <c r="N194" s="2" t="s">
        <v>29</v>
      </c>
      <c r="O194" t="s">
        <v>29</v>
      </c>
      <c r="P194" t="s">
        <v>29</v>
      </c>
      <c r="Q194" t="s">
        <v>29</v>
      </c>
      <c r="R194" t="s">
        <v>29</v>
      </c>
      <c r="S194" t="s">
        <v>153</v>
      </c>
    </row>
    <row r="195" spans="1:19" x14ac:dyDescent="0.45">
      <c r="A195" t="s">
        <v>150</v>
      </c>
      <c r="B195" t="s">
        <v>309</v>
      </c>
      <c r="C195" t="s">
        <v>310</v>
      </c>
      <c r="D195" t="s">
        <v>59</v>
      </c>
      <c r="E195">
        <v>8</v>
      </c>
      <c r="F195" t="s">
        <v>315</v>
      </c>
      <c r="G195" t="s">
        <v>316</v>
      </c>
      <c r="H195" t="s">
        <v>26</v>
      </c>
      <c r="I195" t="s">
        <v>32</v>
      </c>
      <c r="J195" t="s">
        <v>121</v>
      </c>
      <c r="K195">
        <v>2.7469999999999999</v>
      </c>
      <c r="L195">
        <v>3.028</v>
      </c>
      <c r="M195" s="2" t="s">
        <v>29</v>
      </c>
      <c r="N195" s="2" t="s">
        <v>29</v>
      </c>
      <c r="O195" t="s">
        <v>29</v>
      </c>
      <c r="P195" t="s">
        <v>29</v>
      </c>
      <c r="Q195" t="s">
        <v>29</v>
      </c>
      <c r="R195" t="s">
        <v>29</v>
      </c>
      <c r="S195" t="s">
        <v>153</v>
      </c>
    </row>
    <row r="196" spans="1:19" x14ac:dyDescent="0.45">
      <c r="A196" t="s">
        <v>150</v>
      </c>
      <c r="B196" t="s">
        <v>309</v>
      </c>
      <c r="C196" t="s">
        <v>310</v>
      </c>
      <c r="D196" t="s">
        <v>59</v>
      </c>
      <c r="E196">
        <v>8</v>
      </c>
      <c r="F196" t="s">
        <v>315</v>
      </c>
      <c r="G196" t="s">
        <v>316</v>
      </c>
      <c r="H196" t="s">
        <v>26</v>
      </c>
      <c r="I196" t="s">
        <v>32</v>
      </c>
      <c r="J196" t="s">
        <v>28</v>
      </c>
      <c r="K196">
        <v>2.44</v>
      </c>
      <c r="L196">
        <v>2.7909999999999999</v>
      </c>
      <c r="M196" s="2" t="s">
        <v>29</v>
      </c>
      <c r="N196" s="2" t="s">
        <v>29</v>
      </c>
      <c r="O196" t="s">
        <v>29</v>
      </c>
      <c r="P196" t="s">
        <v>29</v>
      </c>
      <c r="Q196" t="s">
        <v>29</v>
      </c>
      <c r="R196" t="s">
        <v>29</v>
      </c>
      <c r="S196" t="s">
        <v>153</v>
      </c>
    </row>
    <row r="197" spans="1:19" x14ac:dyDescent="0.45">
      <c r="A197" t="s">
        <v>150</v>
      </c>
      <c r="B197" t="s">
        <v>309</v>
      </c>
      <c r="C197" t="s">
        <v>310</v>
      </c>
      <c r="D197" t="s">
        <v>63</v>
      </c>
      <c r="E197">
        <v>9</v>
      </c>
      <c r="F197" t="s">
        <v>312</v>
      </c>
      <c r="G197" t="s">
        <v>323</v>
      </c>
      <c r="H197" t="s">
        <v>26</v>
      </c>
      <c r="I197" t="s">
        <v>27</v>
      </c>
      <c r="J197" t="s">
        <v>121</v>
      </c>
      <c r="K197">
        <v>3.6429999999999998</v>
      </c>
      <c r="L197">
        <v>3.7480000000000002</v>
      </c>
      <c r="M197" s="2" t="s">
        <v>29</v>
      </c>
      <c r="N197" s="2" t="s">
        <v>29</v>
      </c>
      <c r="O197" t="s">
        <v>29</v>
      </c>
      <c r="P197">
        <v>6.8000000000000005E-2</v>
      </c>
      <c r="Q197">
        <v>7.0999999999999994E-2</v>
      </c>
      <c r="R197" t="s">
        <v>29</v>
      </c>
      <c r="S197" t="s">
        <v>153</v>
      </c>
    </row>
    <row r="198" spans="1:19" x14ac:dyDescent="0.45">
      <c r="A198" t="s">
        <v>150</v>
      </c>
      <c r="B198" t="s">
        <v>309</v>
      </c>
      <c r="C198" t="s">
        <v>310</v>
      </c>
      <c r="D198" t="s">
        <v>63</v>
      </c>
      <c r="E198">
        <v>9</v>
      </c>
      <c r="F198" t="s">
        <v>312</v>
      </c>
      <c r="G198" t="s">
        <v>323</v>
      </c>
      <c r="H198" t="s">
        <v>26</v>
      </c>
      <c r="I198" t="s">
        <v>27</v>
      </c>
      <c r="J198" t="s">
        <v>28</v>
      </c>
      <c r="K198">
        <v>3.496</v>
      </c>
      <c r="L198">
        <v>3.2759999999999998</v>
      </c>
      <c r="M198" s="2" t="s">
        <v>29</v>
      </c>
      <c r="N198" s="2" t="s">
        <v>29</v>
      </c>
      <c r="O198" t="s">
        <v>29</v>
      </c>
      <c r="P198" t="s">
        <v>29</v>
      </c>
      <c r="Q198" t="s">
        <v>29</v>
      </c>
      <c r="R198" t="s">
        <v>29</v>
      </c>
      <c r="S198" t="s">
        <v>153</v>
      </c>
    </row>
    <row r="199" spans="1:19" x14ac:dyDescent="0.45">
      <c r="A199" t="s">
        <v>150</v>
      </c>
      <c r="B199" t="s">
        <v>309</v>
      </c>
      <c r="C199" t="s">
        <v>310</v>
      </c>
      <c r="D199" t="s">
        <v>63</v>
      </c>
      <c r="E199">
        <v>9</v>
      </c>
      <c r="F199" t="s">
        <v>312</v>
      </c>
      <c r="G199" t="s">
        <v>324</v>
      </c>
      <c r="H199" t="s">
        <v>26</v>
      </c>
      <c r="I199" t="s">
        <v>32</v>
      </c>
      <c r="J199" t="s">
        <v>121</v>
      </c>
      <c r="K199">
        <v>3.5680000000000001</v>
      </c>
      <c r="L199">
        <v>3.7610000000000001</v>
      </c>
      <c r="M199" s="2" t="s">
        <v>29</v>
      </c>
      <c r="N199" s="2" t="s">
        <v>29</v>
      </c>
      <c r="O199" t="s">
        <v>29</v>
      </c>
      <c r="P199" t="s">
        <v>29</v>
      </c>
      <c r="Q199" t="s">
        <v>29</v>
      </c>
      <c r="R199" t="s">
        <v>29</v>
      </c>
      <c r="S199" t="s">
        <v>153</v>
      </c>
    </row>
    <row r="200" spans="1:19" x14ac:dyDescent="0.45">
      <c r="A200" t="s">
        <v>150</v>
      </c>
      <c r="B200" t="s">
        <v>309</v>
      </c>
      <c r="C200" t="s">
        <v>310</v>
      </c>
      <c r="D200" t="s">
        <v>63</v>
      </c>
      <c r="E200">
        <v>9</v>
      </c>
      <c r="F200" t="s">
        <v>312</v>
      </c>
      <c r="G200" t="s">
        <v>324</v>
      </c>
      <c r="H200" t="s">
        <v>26</v>
      </c>
      <c r="I200" t="s">
        <v>32</v>
      </c>
      <c r="J200" t="s">
        <v>28</v>
      </c>
      <c r="K200">
        <v>3.2829999999999999</v>
      </c>
      <c r="L200">
        <v>3.2519999999999998</v>
      </c>
      <c r="M200" s="2" t="s">
        <v>29</v>
      </c>
      <c r="N200" s="2" t="s">
        <v>29</v>
      </c>
      <c r="O200" t="s">
        <v>29</v>
      </c>
      <c r="P200" t="s">
        <v>29</v>
      </c>
      <c r="Q200" t="s">
        <v>29</v>
      </c>
      <c r="R200" t="s">
        <v>29</v>
      </c>
      <c r="S200" t="s">
        <v>153</v>
      </c>
    </row>
    <row r="201" spans="1:19" x14ac:dyDescent="0.45">
      <c r="A201" t="s">
        <v>150</v>
      </c>
      <c r="B201" t="s">
        <v>309</v>
      </c>
      <c r="C201" t="s">
        <v>310</v>
      </c>
      <c r="D201" t="s">
        <v>67</v>
      </c>
      <c r="E201">
        <v>10</v>
      </c>
      <c r="F201" t="s">
        <v>312</v>
      </c>
      <c r="G201" t="s">
        <v>325</v>
      </c>
      <c r="H201" t="s">
        <v>26</v>
      </c>
      <c r="I201" t="s">
        <v>27</v>
      </c>
      <c r="J201" t="s">
        <v>121</v>
      </c>
      <c r="K201">
        <v>3.9279999999999999</v>
      </c>
      <c r="L201">
        <v>3.9889999999999999</v>
      </c>
      <c r="M201" s="2" t="s">
        <v>29</v>
      </c>
      <c r="N201" s="2" t="s">
        <v>29</v>
      </c>
      <c r="O201" t="s">
        <v>29</v>
      </c>
      <c r="P201">
        <v>5.8999999999999997E-2</v>
      </c>
      <c r="Q201">
        <v>6.6000000000000003E-2</v>
      </c>
      <c r="R201" t="s">
        <v>29</v>
      </c>
      <c r="S201" t="s">
        <v>153</v>
      </c>
    </row>
    <row r="202" spans="1:19" x14ac:dyDescent="0.45">
      <c r="A202" t="s">
        <v>150</v>
      </c>
      <c r="B202" t="s">
        <v>309</v>
      </c>
      <c r="C202" t="s">
        <v>310</v>
      </c>
      <c r="D202" t="s">
        <v>67</v>
      </c>
      <c r="E202">
        <v>10</v>
      </c>
      <c r="F202" t="s">
        <v>312</v>
      </c>
      <c r="G202" t="s">
        <v>325</v>
      </c>
      <c r="H202" t="s">
        <v>26</v>
      </c>
      <c r="I202" t="s">
        <v>27</v>
      </c>
      <c r="J202" t="s">
        <v>28</v>
      </c>
      <c r="K202">
        <v>4.3209999999999997</v>
      </c>
      <c r="L202">
        <v>4.09</v>
      </c>
      <c r="M202" s="2" t="s">
        <v>29</v>
      </c>
      <c r="N202" s="2" t="s">
        <v>29</v>
      </c>
      <c r="O202" t="s">
        <v>29</v>
      </c>
      <c r="P202" t="s">
        <v>29</v>
      </c>
      <c r="Q202" t="s">
        <v>29</v>
      </c>
      <c r="R202" t="s">
        <v>29</v>
      </c>
      <c r="S202" t="s">
        <v>153</v>
      </c>
    </row>
    <row r="203" spans="1:19" x14ac:dyDescent="0.45">
      <c r="A203" t="s">
        <v>150</v>
      </c>
      <c r="B203" t="s">
        <v>309</v>
      </c>
      <c r="C203" t="s">
        <v>310</v>
      </c>
      <c r="D203" t="s">
        <v>67</v>
      </c>
      <c r="E203">
        <v>10</v>
      </c>
      <c r="F203" t="s">
        <v>312</v>
      </c>
      <c r="G203" t="s">
        <v>324</v>
      </c>
      <c r="H203" t="s">
        <v>26</v>
      </c>
      <c r="I203" t="s">
        <v>32</v>
      </c>
      <c r="J203" t="s">
        <v>121</v>
      </c>
      <c r="K203">
        <v>3.9470000000000001</v>
      </c>
      <c r="L203">
        <v>4.1509999999999998</v>
      </c>
      <c r="M203" s="2" t="s">
        <v>29</v>
      </c>
      <c r="N203" s="2" t="s">
        <v>29</v>
      </c>
      <c r="O203" t="s">
        <v>29</v>
      </c>
      <c r="P203" t="s">
        <v>29</v>
      </c>
      <c r="Q203" t="s">
        <v>29</v>
      </c>
      <c r="R203" t="s">
        <v>29</v>
      </c>
      <c r="S203" t="s">
        <v>153</v>
      </c>
    </row>
    <row r="204" spans="1:19" x14ac:dyDescent="0.45">
      <c r="A204" t="s">
        <v>150</v>
      </c>
      <c r="B204" t="s">
        <v>309</v>
      </c>
      <c r="C204" t="s">
        <v>310</v>
      </c>
      <c r="D204" t="s">
        <v>67</v>
      </c>
      <c r="E204">
        <v>10</v>
      </c>
      <c r="F204" t="s">
        <v>312</v>
      </c>
      <c r="G204" t="s">
        <v>324</v>
      </c>
      <c r="H204" t="s">
        <v>26</v>
      </c>
      <c r="I204" t="s">
        <v>32</v>
      </c>
      <c r="J204" t="s">
        <v>28</v>
      </c>
      <c r="K204">
        <v>4.1509999999999998</v>
      </c>
      <c r="L204">
        <v>4.08</v>
      </c>
      <c r="M204" s="2" t="s">
        <v>29</v>
      </c>
      <c r="N204" s="2" t="s">
        <v>29</v>
      </c>
      <c r="O204" t="s">
        <v>29</v>
      </c>
      <c r="P204" t="s">
        <v>29</v>
      </c>
      <c r="Q204" t="s">
        <v>29</v>
      </c>
      <c r="R204" t="s">
        <v>29</v>
      </c>
      <c r="S204" t="s">
        <v>153</v>
      </c>
    </row>
    <row r="205" spans="1:19" x14ac:dyDescent="0.45">
      <c r="A205" t="s">
        <v>20</v>
      </c>
      <c r="B205" t="s">
        <v>309</v>
      </c>
      <c r="C205" t="s">
        <v>310</v>
      </c>
      <c r="D205" t="s">
        <v>326</v>
      </c>
      <c r="E205">
        <v>11</v>
      </c>
      <c r="F205" t="s">
        <v>312</v>
      </c>
      <c r="G205" t="s">
        <v>325</v>
      </c>
      <c r="H205" t="s">
        <v>26</v>
      </c>
      <c r="I205" t="s">
        <v>27</v>
      </c>
      <c r="J205" t="s">
        <v>121</v>
      </c>
      <c r="K205">
        <v>4.5659999999999998</v>
      </c>
      <c r="L205">
        <v>4.4770000000000003</v>
      </c>
      <c r="M205" s="2" t="s">
        <v>29</v>
      </c>
      <c r="N205" s="2" t="s">
        <v>29</v>
      </c>
      <c r="O205" t="s">
        <v>29</v>
      </c>
      <c r="P205">
        <v>6.5000000000000002E-2</v>
      </c>
      <c r="Q205">
        <v>7.6999999999999999E-2</v>
      </c>
      <c r="R205" t="s">
        <v>29</v>
      </c>
      <c r="S205" t="s">
        <v>153</v>
      </c>
    </row>
    <row r="206" spans="1:19" x14ac:dyDescent="0.45">
      <c r="A206" t="s">
        <v>20</v>
      </c>
      <c r="B206" t="s">
        <v>309</v>
      </c>
      <c r="C206" t="s">
        <v>310</v>
      </c>
      <c r="D206" t="s">
        <v>326</v>
      </c>
      <c r="E206">
        <v>11</v>
      </c>
      <c r="F206" t="s">
        <v>312</v>
      </c>
      <c r="G206" t="s">
        <v>325</v>
      </c>
      <c r="H206" t="s">
        <v>26</v>
      </c>
      <c r="I206" t="s">
        <v>27</v>
      </c>
      <c r="J206" t="s">
        <v>28</v>
      </c>
      <c r="K206">
        <v>4.0890000000000004</v>
      </c>
      <c r="L206">
        <v>3.931</v>
      </c>
      <c r="M206" s="2" t="s">
        <v>29</v>
      </c>
      <c r="N206" s="2" t="s">
        <v>29</v>
      </c>
      <c r="O206" t="s">
        <v>29</v>
      </c>
      <c r="P206" t="s">
        <v>29</v>
      </c>
      <c r="Q206" t="s">
        <v>29</v>
      </c>
      <c r="R206" t="s">
        <v>29</v>
      </c>
      <c r="S206" t="s">
        <v>153</v>
      </c>
    </row>
    <row r="207" spans="1:19" x14ac:dyDescent="0.45">
      <c r="A207" t="s">
        <v>20</v>
      </c>
      <c r="B207" t="s">
        <v>309</v>
      </c>
      <c r="C207" t="s">
        <v>310</v>
      </c>
      <c r="D207" t="s">
        <v>326</v>
      </c>
      <c r="E207">
        <v>11</v>
      </c>
      <c r="F207" t="s">
        <v>312</v>
      </c>
      <c r="G207" t="s">
        <v>324</v>
      </c>
      <c r="H207" t="s">
        <v>26</v>
      </c>
      <c r="I207" t="s">
        <v>32</v>
      </c>
      <c r="J207" t="s">
        <v>121</v>
      </c>
      <c r="K207">
        <v>3.9780000000000002</v>
      </c>
      <c r="L207">
        <v>4.0510000000000002</v>
      </c>
      <c r="M207" s="2" t="s">
        <v>29</v>
      </c>
      <c r="N207" s="2" t="s">
        <v>29</v>
      </c>
      <c r="O207" t="s">
        <v>29</v>
      </c>
      <c r="P207" t="s">
        <v>29</v>
      </c>
      <c r="Q207" t="s">
        <v>29</v>
      </c>
      <c r="R207" t="s">
        <v>29</v>
      </c>
      <c r="S207" t="s">
        <v>153</v>
      </c>
    </row>
    <row r="208" spans="1:19" x14ac:dyDescent="0.45">
      <c r="A208" t="s">
        <v>20</v>
      </c>
      <c r="B208" t="s">
        <v>309</v>
      </c>
      <c r="C208" t="s">
        <v>310</v>
      </c>
      <c r="D208" t="s">
        <v>326</v>
      </c>
      <c r="E208">
        <v>11</v>
      </c>
      <c r="F208" t="s">
        <v>312</v>
      </c>
      <c r="G208" t="s">
        <v>324</v>
      </c>
      <c r="H208" t="s">
        <v>26</v>
      </c>
      <c r="I208" t="s">
        <v>32</v>
      </c>
      <c r="J208" t="s">
        <v>28</v>
      </c>
      <c r="K208">
        <v>4.2169999999999996</v>
      </c>
      <c r="L208">
        <v>4.2770000000000001</v>
      </c>
      <c r="M208" s="2" t="s">
        <v>29</v>
      </c>
      <c r="N208" s="2" t="s">
        <v>29</v>
      </c>
      <c r="O208" t="s">
        <v>29</v>
      </c>
      <c r="P208" t="s">
        <v>29</v>
      </c>
      <c r="Q208" t="s">
        <v>29</v>
      </c>
      <c r="R208" t="s">
        <v>29</v>
      </c>
      <c r="S208" t="s">
        <v>153</v>
      </c>
    </row>
    <row r="209" spans="1:20" x14ac:dyDescent="0.45">
      <c r="A209" t="s">
        <v>150</v>
      </c>
      <c r="B209" t="s">
        <v>309</v>
      </c>
      <c r="C209" t="s">
        <v>310</v>
      </c>
      <c r="D209" t="s">
        <v>74</v>
      </c>
      <c r="E209">
        <v>12</v>
      </c>
      <c r="F209" t="s">
        <v>312</v>
      </c>
      <c r="G209" t="s">
        <v>327</v>
      </c>
      <c r="H209" t="s">
        <v>26</v>
      </c>
      <c r="I209" t="s">
        <v>27</v>
      </c>
      <c r="J209" t="s">
        <v>121</v>
      </c>
      <c r="K209">
        <v>5.2519999999999998</v>
      </c>
      <c r="L209">
        <v>5.609</v>
      </c>
      <c r="M209" s="2" t="s">
        <v>29</v>
      </c>
      <c r="N209" s="2" t="s">
        <v>29</v>
      </c>
      <c r="O209" t="s">
        <v>29</v>
      </c>
      <c r="P209">
        <v>5.6000000000000001E-2</v>
      </c>
      <c r="Q209">
        <v>5.8999999999999997E-2</v>
      </c>
      <c r="R209" t="s">
        <v>29</v>
      </c>
      <c r="S209" t="s">
        <v>153</v>
      </c>
      <c r="T209" t="s">
        <v>328</v>
      </c>
    </row>
    <row r="210" spans="1:20" x14ac:dyDescent="0.45">
      <c r="A210" t="s">
        <v>150</v>
      </c>
      <c r="B210" t="s">
        <v>309</v>
      </c>
      <c r="C210" t="s">
        <v>310</v>
      </c>
      <c r="D210" t="s">
        <v>74</v>
      </c>
      <c r="E210">
        <v>12</v>
      </c>
      <c r="F210" t="s">
        <v>312</v>
      </c>
      <c r="G210" t="s">
        <v>327</v>
      </c>
      <c r="H210" t="s">
        <v>26</v>
      </c>
      <c r="I210" t="s">
        <v>27</v>
      </c>
      <c r="J210" t="s">
        <v>28</v>
      </c>
      <c r="K210">
        <v>4.875</v>
      </c>
      <c r="L210">
        <v>4.6760000000000002</v>
      </c>
      <c r="M210" s="2" t="s">
        <v>29</v>
      </c>
      <c r="N210" s="2" t="s">
        <v>29</v>
      </c>
      <c r="O210" t="s">
        <v>29</v>
      </c>
      <c r="P210" t="s">
        <v>29</v>
      </c>
      <c r="Q210" t="s">
        <v>29</v>
      </c>
      <c r="R210" t="s">
        <v>29</v>
      </c>
      <c r="S210" t="s">
        <v>153</v>
      </c>
    </row>
    <row r="211" spans="1:20" x14ac:dyDescent="0.45">
      <c r="A211" t="s">
        <v>150</v>
      </c>
      <c r="B211" t="s">
        <v>309</v>
      </c>
      <c r="C211" t="s">
        <v>310</v>
      </c>
      <c r="D211" t="s">
        <v>74</v>
      </c>
      <c r="E211">
        <v>12</v>
      </c>
      <c r="F211" t="s">
        <v>312</v>
      </c>
      <c r="G211" t="s">
        <v>324</v>
      </c>
      <c r="H211" t="s">
        <v>26</v>
      </c>
      <c r="I211" t="s">
        <v>32</v>
      </c>
      <c r="J211" t="s">
        <v>121</v>
      </c>
      <c r="K211">
        <v>5.3970000000000002</v>
      </c>
      <c r="L211">
        <v>5.8259999999999996</v>
      </c>
      <c r="M211" s="2" t="s">
        <v>29</v>
      </c>
      <c r="N211" s="2" t="s">
        <v>29</v>
      </c>
      <c r="O211" t="s">
        <v>29</v>
      </c>
      <c r="P211" t="s">
        <v>29</v>
      </c>
      <c r="Q211" t="s">
        <v>29</v>
      </c>
      <c r="R211" t="s">
        <v>29</v>
      </c>
      <c r="S211" t="s">
        <v>153</v>
      </c>
    </row>
    <row r="212" spans="1:20" x14ac:dyDescent="0.45">
      <c r="A212" t="s">
        <v>150</v>
      </c>
      <c r="B212" t="s">
        <v>309</v>
      </c>
      <c r="C212" t="s">
        <v>310</v>
      </c>
      <c r="D212" t="s">
        <v>74</v>
      </c>
      <c r="E212">
        <v>12</v>
      </c>
      <c r="F212" t="s">
        <v>312</v>
      </c>
      <c r="G212" t="s">
        <v>324</v>
      </c>
      <c r="H212" t="s">
        <v>26</v>
      </c>
      <c r="I212" t="s">
        <v>32</v>
      </c>
      <c r="J212" t="s">
        <v>28</v>
      </c>
      <c r="K212">
        <v>4.734</v>
      </c>
      <c r="L212">
        <v>4.6369999999999996</v>
      </c>
      <c r="M212" s="2" t="s">
        <v>29</v>
      </c>
      <c r="N212" s="2" t="s">
        <v>29</v>
      </c>
      <c r="O212" t="s">
        <v>29</v>
      </c>
      <c r="P212" t="s">
        <v>29</v>
      </c>
      <c r="Q212" t="s">
        <v>29</v>
      </c>
      <c r="R212" t="s">
        <v>29</v>
      </c>
      <c r="S212" t="s">
        <v>153</v>
      </c>
    </row>
    <row r="213" spans="1:20" x14ac:dyDescent="0.45">
      <c r="A213" t="s">
        <v>20</v>
      </c>
      <c r="B213" t="s">
        <v>309</v>
      </c>
      <c r="C213" t="s">
        <v>310</v>
      </c>
      <c r="D213" t="s">
        <v>329</v>
      </c>
      <c r="E213">
        <v>13</v>
      </c>
      <c r="F213" t="s">
        <v>312</v>
      </c>
      <c r="G213" t="s">
        <v>327</v>
      </c>
      <c r="H213" t="s">
        <v>26</v>
      </c>
      <c r="I213" t="s">
        <v>27</v>
      </c>
      <c r="J213" t="s">
        <v>121</v>
      </c>
      <c r="K213">
        <v>3.3340000000000001</v>
      </c>
      <c r="L213">
        <v>3.2909999999999999</v>
      </c>
      <c r="M213" s="2" t="s">
        <v>29</v>
      </c>
      <c r="N213" s="2" t="s">
        <v>29</v>
      </c>
      <c r="O213" t="s">
        <v>29</v>
      </c>
      <c r="P213">
        <v>4.3999999999999997E-2</v>
      </c>
      <c r="Q213">
        <v>5.0999999999999997E-2</v>
      </c>
      <c r="R213" t="s">
        <v>29</v>
      </c>
      <c r="S213" t="s">
        <v>153</v>
      </c>
      <c r="T213" t="s">
        <v>330</v>
      </c>
    </row>
    <row r="214" spans="1:20" x14ac:dyDescent="0.45">
      <c r="A214" t="s">
        <v>20</v>
      </c>
      <c r="B214" t="s">
        <v>309</v>
      </c>
      <c r="C214" t="s">
        <v>310</v>
      </c>
      <c r="D214" t="s">
        <v>329</v>
      </c>
      <c r="E214">
        <v>13</v>
      </c>
      <c r="F214" t="s">
        <v>312</v>
      </c>
      <c r="G214" t="s">
        <v>327</v>
      </c>
      <c r="H214" t="s">
        <v>26</v>
      </c>
      <c r="I214" t="s">
        <v>27</v>
      </c>
      <c r="J214" t="s">
        <v>28</v>
      </c>
      <c r="K214">
        <v>2.76</v>
      </c>
      <c r="L214">
        <v>2.4060000000000001</v>
      </c>
      <c r="M214" s="2" t="s">
        <v>29</v>
      </c>
      <c r="N214" s="2" t="s">
        <v>29</v>
      </c>
      <c r="O214" t="s">
        <v>29</v>
      </c>
      <c r="P214" t="s">
        <v>29</v>
      </c>
      <c r="Q214" t="s">
        <v>29</v>
      </c>
      <c r="R214" t="s">
        <v>29</v>
      </c>
      <c r="S214" t="s">
        <v>153</v>
      </c>
    </row>
    <row r="215" spans="1:20" x14ac:dyDescent="0.45">
      <c r="A215" t="s">
        <v>20</v>
      </c>
      <c r="B215" t="s">
        <v>309</v>
      </c>
      <c r="C215" t="s">
        <v>310</v>
      </c>
      <c r="D215" t="s">
        <v>329</v>
      </c>
      <c r="E215">
        <v>13</v>
      </c>
      <c r="F215" t="s">
        <v>312</v>
      </c>
      <c r="G215" t="s">
        <v>331</v>
      </c>
      <c r="H215" t="s">
        <v>26</v>
      </c>
      <c r="I215" t="s">
        <v>32</v>
      </c>
      <c r="J215" t="s">
        <v>121</v>
      </c>
      <c r="K215">
        <v>3.238</v>
      </c>
      <c r="L215">
        <v>3.3239999999999998</v>
      </c>
      <c r="M215" s="2" t="s">
        <v>29</v>
      </c>
      <c r="N215" s="2" t="s">
        <v>29</v>
      </c>
      <c r="O215" t="s">
        <v>29</v>
      </c>
      <c r="P215" t="s">
        <v>29</v>
      </c>
      <c r="Q215" t="s">
        <v>29</v>
      </c>
      <c r="R215" t="s">
        <v>29</v>
      </c>
      <c r="S215" t="s">
        <v>153</v>
      </c>
    </row>
    <row r="216" spans="1:20" x14ac:dyDescent="0.45">
      <c r="A216" t="s">
        <v>20</v>
      </c>
      <c r="B216" t="s">
        <v>309</v>
      </c>
      <c r="C216" t="s">
        <v>310</v>
      </c>
      <c r="D216" t="s">
        <v>329</v>
      </c>
      <c r="E216">
        <v>13</v>
      </c>
      <c r="F216" t="s">
        <v>312</v>
      </c>
      <c r="G216" t="s">
        <v>331</v>
      </c>
      <c r="H216" t="s">
        <v>26</v>
      </c>
      <c r="I216" t="s">
        <v>32</v>
      </c>
      <c r="J216" t="s">
        <v>28</v>
      </c>
      <c r="K216">
        <v>2.5840000000000001</v>
      </c>
      <c r="L216">
        <v>2.4710000000000001</v>
      </c>
      <c r="M216" s="2" t="s">
        <v>29</v>
      </c>
      <c r="N216" s="2" t="s">
        <v>29</v>
      </c>
      <c r="O216" t="s">
        <v>29</v>
      </c>
      <c r="P216" t="s">
        <v>29</v>
      </c>
      <c r="Q216" t="s">
        <v>29</v>
      </c>
      <c r="R216" t="s">
        <v>29</v>
      </c>
      <c r="S216" t="s">
        <v>153</v>
      </c>
    </row>
    <row r="217" spans="1:20" x14ac:dyDescent="0.45">
      <c r="A217" t="s">
        <v>20</v>
      </c>
      <c r="B217" t="s">
        <v>309</v>
      </c>
      <c r="C217" t="s">
        <v>310</v>
      </c>
      <c r="D217" t="s">
        <v>332</v>
      </c>
      <c r="E217">
        <v>14</v>
      </c>
      <c r="F217" t="s">
        <v>312</v>
      </c>
      <c r="G217" t="s">
        <v>333</v>
      </c>
      <c r="H217" t="s">
        <v>26</v>
      </c>
      <c r="I217" t="s">
        <v>27</v>
      </c>
      <c r="J217" t="s">
        <v>121</v>
      </c>
      <c r="K217">
        <v>2.35</v>
      </c>
      <c r="L217">
        <v>2.3530000000000002</v>
      </c>
      <c r="M217" s="2" t="s">
        <v>29</v>
      </c>
      <c r="N217" s="2" t="s">
        <v>29</v>
      </c>
      <c r="O217" t="s">
        <v>29</v>
      </c>
      <c r="P217">
        <v>4.5999999999999999E-2</v>
      </c>
      <c r="Q217">
        <v>4.7E-2</v>
      </c>
      <c r="R217" t="s">
        <v>29</v>
      </c>
      <c r="S217" t="s">
        <v>153</v>
      </c>
    </row>
    <row r="218" spans="1:20" x14ac:dyDescent="0.45">
      <c r="A218" t="s">
        <v>20</v>
      </c>
      <c r="B218" t="s">
        <v>309</v>
      </c>
      <c r="C218" t="s">
        <v>310</v>
      </c>
      <c r="D218" t="s">
        <v>332</v>
      </c>
      <c r="E218">
        <v>14</v>
      </c>
      <c r="F218" t="s">
        <v>312</v>
      </c>
      <c r="G218" t="s">
        <v>333</v>
      </c>
      <c r="H218" t="s">
        <v>26</v>
      </c>
      <c r="I218" t="s">
        <v>27</v>
      </c>
      <c r="J218" t="s">
        <v>28</v>
      </c>
      <c r="K218">
        <v>2.4740000000000002</v>
      </c>
      <c r="L218">
        <v>2.1579999999999999</v>
      </c>
      <c r="M218" s="2" t="s">
        <v>29</v>
      </c>
      <c r="N218" s="2" t="s">
        <v>29</v>
      </c>
      <c r="O218" t="s">
        <v>29</v>
      </c>
      <c r="P218" t="s">
        <v>29</v>
      </c>
      <c r="Q218" t="s">
        <v>29</v>
      </c>
      <c r="R218" t="s">
        <v>29</v>
      </c>
      <c r="S218" t="s">
        <v>153</v>
      </c>
    </row>
    <row r="219" spans="1:20" x14ac:dyDescent="0.45">
      <c r="A219" t="s">
        <v>20</v>
      </c>
      <c r="B219" t="s">
        <v>309</v>
      </c>
      <c r="C219" t="s">
        <v>310</v>
      </c>
      <c r="D219" t="s">
        <v>332</v>
      </c>
      <c r="E219">
        <v>14</v>
      </c>
      <c r="F219" t="s">
        <v>312</v>
      </c>
      <c r="G219" t="s">
        <v>331</v>
      </c>
      <c r="H219" t="s">
        <v>26</v>
      </c>
      <c r="I219" t="s">
        <v>32</v>
      </c>
      <c r="J219" t="s">
        <v>121</v>
      </c>
      <c r="K219">
        <v>2.2589999999999999</v>
      </c>
      <c r="L219">
        <v>2.4060000000000001</v>
      </c>
      <c r="M219" s="2" t="s">
        <v>29</v>
      </c>
      <c r="N219" s="2" t="s">
        <v>29</v>
      </c>
      <c r="O219" t="s">
        <v>29</v>
      </c>
      <c r="P219" t="s">
        <v>29</v>
      </c>
      <c r="Q219" t="s">
        <v>29</v>
      </c>
      <c r="R219" t="s">
        <v>29</v>
      </c>
      <c r="S219" t="s">
        <v>153</v>
      </c>
    </row>
    <row r="220" spans="1:20" x14ac:dyDescent="0.45">
      <c r="A220" t="s">
        <v>20</v>
      </c>
      <c r="B220" t="s">
        <v>309</v>
      </c>
      <c r="C220" t="s">
        <v>310</v>
      </c>
      <c r="D220" t="s">
        <v>332</v>
      </c>
      <c r="E220">
        <v>14</v>
      </c>
      <c r="F220" t="s">
        <v>312</v>
      </c>
      <c r="G220" t="s">
        <v>331</v>
      </c>
      <c r="H220" t="s">
        <v>26</v>
      </c>
      <c r="I220" t="s">
        <v>32</v>
      </c>
      <c r="J220" t="s">
        <v>28</v>
      </c>
      <c r="K220">
        <v>2.6549999999999998</v>
      </c>
      <c r="L220">
        <v>2.5760000000000001</v>
      </c>
      <c r="M220" s="2" t="s">
        <v>29</v>
      </c>
      <c r="N220" s="2" t="s">
        <v>29</v>
      </c>
      <c r="O220" t="s">
        <v>29</v>
      </c>
      <c r="P220" t="s">
        <v>29</v>
      </c>
      <c r="Q220" t="s">
        <v>29</v>
      </c>
      <c r="R220" t="s">
        <v>29</v>
      </c>
      <c r="S220" t="s">
        <v>153</v>
      </c>
    </row>
    <row r="221" spans="1:20" x14ac:dyDescent="0.45">
      <c r="A221" t="s">
        <v>150</v>
      </c>
      <c r="B221" t="s">
        <v>309</v>
      </c>
      <c r="C221" t="s">
        <v>310</v>
      </c>
      <c r="D221" t="s">
        <v>86</v>
      </c>
      <c r="E221">
        <v>15</v>
      </c>
      <c r="F221" t="s">
        <v>312</v>
      </c>
      <c r="G221" t="s">
        <v>333</v>
      </c>
      <c r="H221" t="s">
        <v>26</v>
      </c>
      <c r="I221" t="s">
        <v>27</v>
      </c>
      <c r="J221" t="s">
        <v>121</v>
      </c>
      <c r="K221">
        <v>2.9009999999999998</v>
      </c>
      <c r="L221">
        <v>2.8010000000000002</v>
      </c>
      <c r="M221" s="2" t="s">
        <v>29</v>
      </c>
      <c r="N221" s="2" t="s">
        <v>29</v>
      </c>
      <c r="O221" t="s">
        <v>29</v>
      </c>
      <c r="P221">
        <v>0.03</v>
      </c>
      <c r="Q221">
        <v>4.2999999999999997E-2</v>
      </c>
      <c r="R221" t="s">
        <v>29</v>
      </c>
      <c r="S221" t="s">
        <v>153</v>
      </c>
      <c r="T221" t="s">
        <v>334</v>
      </c>
    </row>
    <row r="222" spans="1:20" x14ac:dyDescent="0.45">
      <c r="A222" t="s">
        <v>150</v>
      </c>
      <c r="B222" t="s">
        <v>309</v>
      </c>
      <c r="C222" t="s">
        <v>310</v>
      </c>
      <c r="D222" t="s">
        <v>86</v>
      </c>
      <c r="E222">
        <v>15</v>
      </c>
      <c r="F222" t="s">
        <v>312</v>
      </c>
      <c r="G222" t="s">
        <v>333</v>
      </c>
      <c r="H222" t="s">
        <v>26</v>
      </c>
      <c r="I222" t="s">
        <v>27</v>
      </c>
      <c r="J222" t="s">
        <v>28</v>
      </c>
      <c r="K222">
        <v>2.5550000000000002</v>
      </c>
      <c r="L222">
        <v>2.2509999999999999</v>
      </c>
      <c r="M222" s="2" t="s">
        <v>29</v>
      </c>
      <c r="N222" s="2" t="s">
        <v>29</v>
      </c>
      <c r="O222" t="s">
        <v>29</v>
      </c>
      <c r="P222" t="s">
        <v>29</v>
      </c>
      <c r="Q222" t="s">
        <v>29</v>
      </c>
      <c r="R222" t="s">
        <v>29</v>
      </c>
      <c r="S222" t="s">
        <v>153</v>
      </c>
    </row>
    <row r="223" spans="1:20" x14ac:dyDescent="0.45">
      <c r="A223" t="s">
        <v>150</v>
      </c>
      <c r="B223" t="s">
        <v>309</v>
      </c>
      <c r="C223" t="s">
        <v>310</v>
      </c>
      <c r="D223" t="s">
        <v>86</v>
      </c>
      <c r="E223">
        <v>15</v>
      </c>
      <c r="F223" t="s">
        <v>312</v>
      </c>
      <c r="G223" t="s">
        <v>331</v>
      </c>
      <c r="H223" t="s">
        <v>26</v>
      </c>
      <c r="I223" t="s">
        <v>32</v>
      </c>
      <c r="J223" t="s">
        <v>121</v>
      </c>
      <c r="K223">
        <v>3.21</v>
      </c>
      <c r="L223">
        <v>3.323</v>
      </c>
      <c r="M223" s="2" t="s">
        <v>29</v>
      </c>
      <c r="N223" s="2" t="s">
        <v>29</v>
      </c>
      <c r="O223" t="s">
        <v>29</v>
      </c>
      <c r="P223" t="s">
        <v>29</v>
      </c>
      <c r="Q223" t="s">
        <v>29</v>
      </c>
      <c r="R223" t="s">
        <v>29</v>
      </c>
      <c r="S223" t="s">
        <v>153</v>
      </c>
    </row>
    <row r="224" spans="1:20" x14ac:dyDescent="0.45">
      <c r="A224" t="s">
        <v>150</v>
      </c>
      <c r="B224" t="s">
        <v>309</v>
      </c>
      <c r="C224" t="s">
        <v>310</v>
      </c>
      <c r="D224" t="s">
        <v>86</v>
      </c>
      <c r="E224">
        <v>15</v>
      </c>
      <c r="F224" t="s">
        <v>312</v>
      </c>
      <c r="G224" t="s">
        <v>331</v>
      </c>
      <c r="H224" t="s">
        <v>26</v>
      </c>
      <c r="I224" t="s">
        <v>32</v>
      </c>
      <c r="J224" t="s">
        <v>28</v>
      </c>
      <c r="K224">
        <v>2.6659999999999999</v>
      </c>
      <c r="L224">
        <v>2.585</v>
      </c>
      <c r="M224" s="2" t="s">
        <v>29</v>
      </c>
      <c r="N224" s="2" t="s">
        <v>29</v>
      </c>
      <c r="O224" t="s">
        <v>29</v>
      </c>
      <c r="P224" t="s">
        <v>29</v>
      </c>
      <c r="Q224" t="s">
        <v>29</v>
      </c>
      <c r="R224" t="s">
        <v>29</v>
      </c>
      <c r="S224" t="s">
        <v>153</v>
      </c>
    </row>
  </sheetData>
  <mergeCells count="3">
    <mergeCell ref="V102:Y102"/>
    <mergeCell ref="V89:W89"/>
    <mergeCell ref="V160:Y160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Amphipods_JVM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Anea Rakvåg</cp:lastModifiedBy>
  <cp:revision/>
  <dcterms:created xsi:type="dcterms:W3CDTF">2025-06-23T09:28:15Z</dcterms:created>
  <dcterms:modified xsi:type="dcterms:W3CDTF">2025-10-13T16:51:17Z</dcterms:modified>
  <cp:category/>
  <cp:contentStatus/>
</cp:coreProperties>
</file>